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740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Discovery Checklist" sheetId="3" state="visible" r:id="rId3"/>
    <sheet xmlns:r="http://schemas.openxmlformats.org/officeDocument/2006/relationships" name="Findings Tracker" sheetId="4" state="visible" r:id="rId4"/>
    <sheet xmlns:r="http://schemas.openxmlformats.org/officeDocument/2006/relationships" name="Implementation Plan" sheetId="5" state="visible" r:id="rId5"/>
    <sheet xmlns:r="http://schemas.openxmlformats.org/officeDocument/2006/relationships" name="Monitoring Setu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Quick Reference" sheetId="8" state="visible" r:id="rId8"/>
  </sheets>
  <definedNames>
    <definedName name="_xlnm._FilterDatabase" localSheetId="3" hidden="1">'Findings Tracker'!$A$3:$P$50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$#,##0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rgb="FF232F3E"/>
      <sz val="18"/>
    </font>
    <font>
      <name val="Calibri"/>
      <family val="2"/>
      <b val="1"/>
      <color rgb="FFFF9900"/>
      <sz val="14"/>
    </font>
    <font>
      <name val="Calibri"/>
      <family val="2"/>
      <b val="1"/>
      <color rgb="FFFF9900"/>
      <sz val="12"/>
    </font>
    <font>
      <name val="Calibri"/>
      <family val="2"/>
      <b val="1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color rgb="FFCCCCCC"/>
      <sz val="11"/>
    </font>
    <font>
      <name val="Calibri"/>
      <family val="2"/>
      <b val="1"/>
      <color rgb="FF00AA00"/>
      <sz val="11"/>
    </font>
    <font>
      <name val="Calibri"/>
      <family val="2"/>
      <b val="1"/>
      <sz val="12"/>
    </font>
    <font>
      <name val="Calibri"/>
      <family val="2"/>
      <b val="1"/>
      <color rgb="FFFF0000"/>
      <sz val="11"/>
    </font>
    <font>
      <name val="Calibri"/>
      <family val="2"/>
      <b val="1"/>
      <color rgb="FFFF9900"/>
      <sz val="14"/>
    </font>
    <font>
      <name val="Calibri"/>
      <family val="2"/>
      <b val="1"/>
      <sz val="11"/>
    </font>
    <font>
      <name val="Calibri"/>
      <family val="2"/>
      <color rgb="FF0066CC"/>
      <sz val="11"/>
      <u val="single"/>
    </font>
    <font>
      <name val="Calibri"/>
      <family val="2"/>
      <i val="1"/>
      <color rgb="FF666666"/>
      <sz val="11"/>
    </font>
    <font>
      <name val="Calibri"/>
      <family val="2"/>
      <b val="1"/>
      <sz val="12"/>
    </font>
    <font>
      <name val="Calibri"/>
      <family val="2"/>
      <color rgb="FF0066CC"/>
      <sz val="11"/>
    </font>
    <font>
      <name val="Calibri"/>
      <family val="2"/>
      <b val="1"/>
      <color rgb="FFFF9900"/>
      <sz val="11"/>
    </font>
    <font>
      <b val="1"/>
      <color rgb="00FFFFFF"/>
    </font>
    <font>
      <b val="1"/>
    </font>
    <font>
      <b val="1"/>
      <color rgb="00008800"/>
    </font>
    <font>
      <b val="1"/>
      <color rgb="000066CC"/>
    </font>
    <font>
      <i val="1"/>
      <color rgb="00666666"/>
    </font>
    <font>
      <i val="1"/>
    </font>
    <font>
      <b val="1"/>
      <sz val="16"/>
    </font>
    <font>
      <b val="1"/>
      <color rgb="00FF9900"/>
      <sz val="12"/>
    </font>
    <font>
      <color rgb="000066CC"/>
    </font>
    <font>
      <name val="Courier New"/>
      <sz val="9"/>
    </font>
    <font>
      <color rgb="000066CC"/>
      <u val="single"/>
    </font>
  </fonts>
  <fills count="9">
    <fill>
      <patternFill/>
    </fill>
    <fill>
      <patternFill patternType="gray125"/>
    </fill>
    <fill>
      <patternFill patternType="solid">
        <fgColor rgb="FF232F3E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9900"/>
      </patternFill>
    </fill>
    <fill>
      <patternFill patternType="solid">
        <f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3" borderId="0" pivotButton="0" quotePrefix="0" xfId="0"/>
    <xf numFmtId="0" fontId="11" fillId="0" borderId="0" pivotButton="0" quotePrefix="0" xfId="0"/>
    <xf numFmtId="0" fontId="6" fillId="7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8" borderId="0" applyAlignment="1" pivotButton="0" quotePrefix="0" xfId="0">
      <alignment horizontal="center" wrapText="1"/>
    </xf>
    <xf numFmtId="166" fontId="0" fillId="0" borderId="0" pivotButton="0" quotePrefix="0" xfId="0"/>
    <xf numFmtId="0" fontId="20" fillId="0" borderId="0" pivotButton="0" quotePrefix="0" xfId="0"/>
    <xf numFmtId="166" fontId="20" fillId="0" borderId="0" pivotButton="0" quotePrefix="0" xfId="0"/>
    <xf numFmtId="166" fontId="21" fillId="0" borderId="0" pivotButton="0" quotePrefix="0" xfId="0"/>
    <xf numFmtId="166" fontId="22" fillId="0" borderId="0" pivotButton="0" quotePrefix="0" xfId="0"/>
    <xf numFmtId="0" fontId="23" fillId="0" borderId="0" pivotButton="0" quotePrefix="0" xfId="0"/>
    <xf numFmtId="166" fontId="24" fillId="0" borderId="0" pivotButton="0" quotePrefix="0" xfId="0"/>
    <xf numFmtId="0" fontId="19" fillId="8" borderId="0" pivotButton="0" quotePrefix="0" xfId="0"/>
    <xf numFmtId="9" fontId="20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FFF9C4"/>
          <bgColor rgb="00FFF9C4"/>
        </patternFill>
      </fill>
    </dxf>
    <dxf>
      <fill>
        <patternFill patternType="solid">
          <fgColor rgb="00EEEEEE"/>
          <bgColor rgb="00EEEEEE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BBDEFB"/>
          <b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tabSelected="1" topLeftCell="A26" zoomScale="130" zoomScaleNormal="130" workbookViewId="0">
      <selection activeCell="D48" sqref="D48"/>
    </sheetView>
  </sheetViews>
  <sheetFormatPr baseColWidth="10" defaultColWidth="8.83203125" defaultRowHeight="15"/>
  <cols>
    <col width="70" customWidth="1" min="1" max="1"/>
  </cols>
  <sheetData>
    <row r="1" ht="24" customHeight="1">
      <c r="A1" s="1" t="inlineStr">
        <is>
          <t>AWS Cost Audit Playbook</t>
        </is>
      </c>
    </row>
    <row r="3" ht="19" customHeight="1">
      <c r="A3" s="2" t="inlineStr">
        <is>
          <t>How to use this template</t>
        </is>
      </c>
    </row>
    <row r="5">
      <c r="A5" t="inlineStr">
        <is>
          <t>1. Start with the Baseline tab - document your current spend before making changes</t>
        </is>
      </c>
    </row>
    <row r="6">
      <c r="A6" t="inlineStr">
        <is>
          <t>2. Use Discovery Checklist to systematically review each area</t>
        </is>
      </c>
    </row>
    <row r="7">
      <c r="A7" t="inlineStr">
        <is>
          <t>3. Log all findings in the Findings Tracker with estimated savings</t>
        </is>
      </c>
    </row>
    <row r="8">
      <c r="A8" t="inlineStr">
        <is>
          <t>4. Prioritize using the effort/impact matrix</t>
        </is>
      </c>
    </row>
    <row r="9">
      <c r="A9" t="inlineStr">
        <is>
          <t>5. Track implementation in the Implementation Plan tab</t>
        </is>
      </c>
    </row>
    <row r="10">
      <c r="A10" t="inlineStr">
        <is>
          <t>6. Set up monitoring using the Monitoring Setup checklist</t>
        </is>
      </c>
    </row>
    <row r="12" ht="19" customHeight="1">
      <c r="A12" s="2" t="inlineStr">
        <is>
          <t>Time Estimates</t>
        </is>
      </c>
    </row>
    <row r="13">
      <c r="A13" t="inlineStr">
        <is>
          <t>Small account (&lt;50 resources): 4-6 hours</t>
        </is>
      </c>
    </row>
    <row r="14">
      <c r="A14" t="inlineStr">
        <is>
          <t>Medium account (50-200 resources): 6-10 hours</t>
        </is>
      </c>
    </row>
    <row r="15">
      <c r="A15" t="inlineStr">
        <is>
          <t>Large account (200+ resources): 2-3 days</t>
        </is>
      </c>
    </row>
    <row r="17" ht="19" customHeight="1">
      <c r="A17" s="2" t="inlineStr">
        <is>
          <t>Before You Start</t>
        </is>
      </c>
    </row>
    <row r="18">
      <c r="A18" t="inlineStr">
        <is>
          <t>Document compliance requirements BEFORE deleting anything:</t>
        </is>
      </c>
    </row>
    <row r="19">
      <c r="A19" t="inlineStr">
        <is>
          <t>- Data retention policies (HIPAA, SOX, PCI-DSS)</t>
        </is>
      </c>
    </row>
    <row r="20">
      <c r="A20" t="inlineStr">
        <is>
          <t>- Disaster recovery requirements (RPO/RTO)</t>
        </is>
      </c>
    </row>
    <row r="21">
      <c r="A21" t="inlineStr">
        <is>
          <t>- Audit trail requirements</t>
        </is>
      </c>
    </row>
    <row r="23" ht="16" customHeight="1">
      <c r="A23" s="3" t="inlineStr">
        <is>
          <t>Run this audit quarterly for best results.</t>
        </is>
      </c>
    </row>
    <row r="25" ht="19" customHeight="1">
      <c r="A25" s="23" t="inlineStr">
        <is>
          <t>About This Template</t>
        </is>
      </c>
    </row>
    <row r="27">
      <c r="A27" s="24" t="inlineStr">
        <is>
          <t>Author: INNOMIZE</t>
        </is>
      </c>
    </row>
    <row r="28">
      <c r="A28" t="inlineStr">
        <is>
          <t>Website: www.innomizetech.com</t>
        </is>
      </c>
    </row>
    <row r="29">
      <c r="A29" t="inlineStr">
        <is>
          <t>Contact: hello@innomizetech.com</t>
        </is>
      </c>
    </row>
    <row r="31" ht="19" customHeight="1">
      <c r="A31" s="23" t="inlineStr">
        <is>
          <t>AWS Cost Optimization Series</t>
        </is>
      </c>
    </row>
    <row r="33">
      <c r="A33" s="24" t="inlineStr">
        <is>
          <t>Part 1: 12 Hidden AWS Costs</t>
        </is>
      </c>
    </row>
    <row r="34">
      <c r="A34" s="44" t="inlineStr">
        <is>
          <t>https://innomizetech.com/blog/12-hidden-aws-costs-what-most-teams-miss-on-their-aws-bill</t>
        </is>
      </c>
    </row>
    <row r="35">
      <c r="A35" s="26" t="inlineStr">
        <is>
          <t>Where the money leaks</t>
        </is>
      </c>
    </row>
    <row r="37">
      <c r="A37" s="24" t="inlineStr">
        <is>
          <t>Part 2: 6 Proven Strategies</t>
        </is>
      </c>
    </row>
    <row r="38">
      <c r="A38" s="44" t="inlineStr">
        <is>
          <t>https://innomizetech.com/blog/aws-cost-optimization-6-proven-strategies-for-2026</t>
        </is>
      </c>
    </row>
    <row r="39">
      <c r="A39" s="26" t="inlineStr">
        <is>
          <t>How to stop the leaks</t>
        </is>
      </c>
    </row>
    <row r="41">
      <c r="A41" s="24" t="inlineStr">
        <is>
          <t>Part 3: The Audit Playbook</t>
        </is>
      </c>
    </row>
    <row r="42">
      <c r="A42" s="25" t="inlineStr">
        <is>
          <t>https://innomizetech.com/blog/the-aws-cost-audit-playbook-a-step-by-step-guide</t>
        </is>
      </c>
    </row>
    <row r="43">
      <c r="A43" s="26" t="inlineStr">
        <is>
          <t>This template</t>
        </is>
      </c>
    </row>
    <row r="45" ht="16" customHeight="1">
      <c r="A45" s="27" t="inlineStr">
        <is>
          <t>Need help with your AWS cost audit?</t>
        </is>
      </c>
    </row>
    <row r="46">
      <c r="A46" s="28" t="inlineStr">
        <is>
          <t xml:space="preserve">Contact us for a free initial assessment: https://innomizetech.com/contact-us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topLeftCell="A11" zoomScale="130" zoomScaleNormal="130" workbookViewId="0">
      <pane ySplit="3" topLeftCell="A4" activePane="bottomLeft" state="frozen"/>
      <selection pane="bottomLeft" activeCell="B22" sqref="B22"/>
    </sheetView>
  </sheetViews>
  <sheetFormatPr baseColWidth="10" defaultColWidth="8.83203125" defaultRowHeight="15"/>
  <cols>
    <col width="22" customWidth="1" min="1" max="4"/>
  </cols>
  <sheetData>
    <row r="1" ht="21" customHeight="1">
      <c r="A1" s="4" t="inlineStr">
        <is>
          <t>AWS Cost Baseline</t>
        </is>
      </c>
    </row>
    <row r="2">
      <c r="A2" s="5" t="inlineStr">
        <is>
          <t>Complete BEFORE making changes</t>
        </is>
      </c>
    </row>
    <row r="4">
      <c r="A4" s="6" t="inlineStr">
        <is>
          <t>Audit Information</t>
        </is>
      </c>
    </row>
    <row r="5">
      <c r="A5" s="7" t="inlineStr">
        <is>
          <t>Audit Date</t>
        </is>
      </c>
      <c r="B5" s="8" t="n"/>
    </row>
    <row r="6">
      <c r="A6" s="7" t="inlineStr">
        <is>
          <t>AWS Account ID</t>
        </is>
      </c>
      <c r="B6" s="8" t="n"/>
    </row>
    <row r="7">
      <c r="A7" s="7" t="inlineStr">
        <is>
          <t>Account Name</t>
        </is>
      </c>
      <c r="B7" s="8" t="n"/>
    </row>
    <row r="8">
      <c r="A8" s="7" t="inlineStr">
        <is>
          <t>Auditor</t>
        </is>
      </c>
      <c r="B8" s="8" t="n"/>
    </row>
    <row r="10">
      <c r="A10" s="6" t="inlineStr">
        <is>
          <t>Monthly Spend (Last 3 Months)</t>
        </is>
      </c>
    </row>
    <row r="11">
      <c r="A11" s="9" t="inlineStr">
        <is>
          <t>Month</t>
        </is>
      </c>
      <c r="B11" s="9" t="inlineStr">
        <is>
          <t>Spend ($)</t>
        </is>
      </c>
      <c r="C11" s="9" t="inlineStr">
        <is>
          <t>Notes</t>
        </is>
      </c>
    </row>
    <row r="12">
      <c r="B12" s="8" t="n"/>
    </row>
    <row r="13">
      <c r="B13" s="8" t="n"/>
    </row>
    <row r="14">
      <c r="B14" s="8" t="n"/>
    </row>
    <row r="15">
      <c r="A15" s="7" t="inlineStr">
        <is>
          <t>3-Month Average</t>
        </is>
      </c>
      <c r="B15" s="10">
        <f>AVERAGE(B12:B14)</f>
        <v/>
      </c>
    </row>
    <row r="17">
      <c r="A17" s="6" t="inlineStr">
        <is>
          <t>Top 10 Services by Cost</t>
        </is>
      </c>
    </row>
    <row r="18">
      <c r="A18" s="9" t="inlineStr">
        <is>
          <t>Rank</t>
        </is>
      </c>
      <c r="B18" s="9" t="inlineStr">
        <is>
          <t>Service</t>
        </is>
      </c>
      <c r="C18" s="9" t="inlineStr">
        <is>
          <t>Cost ($)</t>
        </is>
      </c>
      <c r="D18" s="9" t="inlineStr">
        <is>
          <t>% Total</t>
        </is>
      </c>
    </row>
    <row r="19">
      <c r="A19" t="n">
        <v>1</v>
      </c>
      <c r="B19" s="8" t="n"/>
      <c r="C19" s="8" t="n"/>
      <c r="D19" s="11">
        <f>IF(C19&gt;0,C19/$B$15,"")</f>
        <v/>
      </c>
    </row>
    <row r="20">
      <c r="A20" t="n">
        <v>2</v>
      </c>
      <c r="B20" s="8" t="n"/>
      <c r="C20" s="8" t="n"/>
      <c r="D20" s="11">
        <f>IF(C20&gt;0,C20/$B$15,"")</f>
        <v/>
      </c>
    </row>
    <row r="21">
      <c r="A21" t="n">
        <v>3</v>
      </c>
      <c r="B21" s="8" t="n"/>
      <c r="C21" s="8" t="n"/>
      <c r="D21" s="11">
        <f>IF(C21&gt;0,C21/$B$15,"")</f>
        <v/>
      </c>
    </row>
    <row r="22">
      <c r="A22" t="n">
        <v>4</v>
      </c>
      <c r="B22" s="8" t="n"/>
      <c r="C22" s="8" t="n"/>
      <c r="D22" s="11">
        <f>IF(C22&gt;0,C22/$B$15,"")</f>
        <v/>
      </c>
    </row>
    <row r="23">
      <c r="A23" t="n">
        <v>5</v>
      </c>
      <c r="B23" s="8" t="n"/>
      <c r="C23" s="8" t="n"/>
      <c r="D23" s="11">
        <f>IF(C23&gt;0,C23/$B$15,"")</f>
        <v/>
      </c>
    </row>
    <row r="24">
      <c r="A24" t="n">
        <v>6</v>
      </c>
      <c r="B24" s="8" t="n"/>
      <c r="C24" s="8" t="n"/>
      <c r="D24" s="11">
        <f>IF(C24&gt;0,C24/$B$15,"")</f>
        <v/>
      </c>
    </row>
    <row r="25">
      <c r="A25" t="n">
        <v>7</v>
      </c>
      <c r="B25" s="8" t="n"/>
      <c r="C25" s="8" t="n"/>
      <c r="D25" s="11">
        <f>IF(C25&gt;0,C25/$B$15,"")</f>
        <v/>
      </c>
    </row>
    <row r="26">
      <c r="A26" t="n">
        <v>8</v>
      </c>
      <c r="B26" s="8" t="n"/>
      <c r="C26" s="8" t="n"/>
      <c r="D26" s="11">
        <f>IF(C26&gt;0,C26/$B$15,"")</f>
        <v/>
      </c>
    </row>
    <row r="27">
      <c r="A27" t="n">
        <v>9</v>
      </c>
      <c r="B27" s="8" t="n"/>
      <c r="C27" s="8" t="n"/>
      <c r="D27" s="11">
        <f>IF(C27&gt;0,C27/$B$15,"")</f>
        <v/>
      </c>
    </row>
    <row r="28">
      <c r="A28" t="n">
        <v>10</v>
      </c>
      <c r="B28" s="8" t="n"/>
      <c r="C28" s="8" t="n"/>
      <c r="D28" s="11">
        <f>IF(C28&gt;0,C28/$B$15,"")</f>
        <v/>
      </c>
    </row>
    <row r="30">
      <c r="A30" s="6" t="inlineStr">
        <is>
          <t>Compliance Requirements</t>
        </is>
      </c>
    </row>
    <row r="31">
      <c r="A31" s="7" t="inlineStr">
        <is>
          <t>Data Retention Policy</t>
        </is>
      </c>
      <c r="B31" s="8" t="n"/>
    </row>
    <row r="32">
      <c r="A32" s="7" t="inlineStr">
        <is>
          <t>RPO Requirement</t>
        </is>
      </c>
      <c r="B32" s="8" t="n"/>
    </row>
    <row r="33">
      <c r="A33" s="7" t="inlineStr">
        <is>
          <t>RTO Requirement</t>
        </is>
      </c>
      <c r="B33" s="8" t="n"/>
    </row>
    <row r="34">
      <c r="A34" s="7" t="inlineStr">
        <is>
          <t>Audit Log Retention</t>
        </is>
      </c>
      <c r="B3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topLeftCell="A18" zoomScale="120" zoomScaleNormal="120"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3.1640625" bestFit="1" customWidth="1" min="1" max="1"/>
    <col width="40" customWidth="1" min="2" max="2"/>
    <col width="30" customWidth="1" min="3" max="3"/>
    <col width="25" customWidth="1" min="4" max="4"/>
  </cols>
  <sheetData>
    <row r="1" ht="21" customHeight="1">
      <c r="A1" s="4" t="inlineStr">
        <is>
          <t>Discovery Checklist</t>
        </is>
      </c>
    </row>
    <row r="3">
      <c r="A3" s="6" t="inlineStr">
        <is>
          <t>COMPUTE</t>
        </is>
      </c>
    </row>
    <row r="4">
      <c r="A4" s="9" t="inlineStr">
        <is>
          <t>Done</t>
        </is>
      </c>
      <c r="B4" s="9" t="inlineStr">
        <is>
          <t>Check Item</t>
        </is>
      </c>
      <c r="C4" s="9" t="inlineStr">
        <is>
          <t>Finding</t>
        </is>
      </c>
      <c r="D4" s="9" t="inlineStr">
        <is>
          <t>Notes</t>
        </is>
      </c>
    </row>
    <row r="5">
      <c r="A5" t="inlineStr">
        <is>
          <t>☐</t>
        </is>
      </c>
      <c r="B5" t="inlineStr">
        <is>
          <t>Review Compute Optimizer recommendations</t>
        </is>
      </c>
    </row>
    <row r="6">
      <c r="A6" t="inlineStr">
        <is>
          <t>☐</t>
        </is>
      </c>
      <c r="B6" t="inlineStr">
        <is>
          <t>Check EC2 instances &lt;20% avg CPU</t>
        </is>
      </c>
    </row>
    <row r="7">
      <c r="A7" t="inlineStr">
        <is>
          <t>☐</t>
        </is>
      </c>
      <c r="B7" t="inlineStr">
        <is>
          <t>Find stopped instances (&gt;1 week)</t>
        </is>
      </c>
    </row>
    <row r="8">
      <c r="A8" t="inlineStr">
        <is>
          <t>☐</t>
        </is>
      </c>
      <c r="B8" t="inlineStr">
        <is>
          <t>List old-gen types (m4, c4, r4, m5, c5)</t>
        </is>
      </c>
    </row>
    <row r="9">
      <c r="A9" t="inlineStr">
        <is>
          <t>☐</t>
        </is>
      </c>
      <c r="B9" t="inlineStr">
        <is>
          <t>Identify Graviton migration candidates</t>
        </is>
      </c>
    </row>
    <row r="10">
      <c r="A10" t="inlineStr">
        <is>
          <t>☐</t>
        </is>
      </c>
      <c r="B10" t="inlineStr">
        <is>
          <t>Review Lambda memory vs usage</t>
        </is>
      </c>
    </row>
    <row r="12">
      <c r="A12" s="6" t="inlineStr">
        <is>
          <t>STORAGE</t>
        </is>
      </c>
    </row>
    <row r="13">
      <c r="A13" s="9" t="inlineStr">
        <is>
          <t>Done</t>
        </is>
      </c>
      <c r="B13" s="9" t="inlineStr">
        <is>
          <t>Check Item</t>
        </is>
      </c>
      <c r="C13" s="9" t="inlineStr">
        <is>
          <t>Finding</t>
        </is>
      </c>
      <c r="D13" s="9" t="inlineStr">
        <is>
          <t>Notes</t>
        </is>
      </c>
    </row>
    <row r="14">
      <c r="A14" t="inlineStr">
        <is>
          <t>☐</t>
        </is>
      </c>
      <c r="B14" t="inlineStr">
        <is>
          <t>List unattached EBS volumes</t>
        </is>
      </c>
    </row>
    <row r="15">
      <c r="A15" t="inlineStr">
        <is>
          <t>☐</t>
        </is>
      </c>
      <c r="B15" t="inlineStr">
        <is>
          <t>Identify gp2 volumes (migrate to gp3)</t>
        </is>
      </c>
    </row>
    <row r="16">
      <c r="A16" t="inlineStr">
        <is>
          <t>☐</t>
        </is>
      </c>
      <c r="B16" t="inlineStr">
        <is>
          <t>Find snapshots &gt;90 days old</t>
        </is>
      </c>
    </row>
    <row r="17">
      <c r="A17" t="inlineStr">
        <is>
          <t>☐</t>
        </is>
      </c>
      <c r="B17" t="inlineStr">
        <is>
          <t>Find orphaned snapshots</t>
        </is>
      </c>
    </row>
    <row r="18">
      <c r="A18" t="inlineStr">
        <is>
          <t>☐</t>
        </is>
      </c>
      <c r="B18" t="inlineStr">
        <is>
          <t>Check S3 buckets &gt;1TB without lifecycle</t>
        </is>
      </c>
    </row>
    <row r="19">
      <c r="A19" t="inlineStr">
        <is>
          <t>☐</t>
        </is>
      </c>
      <c r="B19" t="inlineStr">
        <is>
          <t>Review versioned buckets without lifecycle</t>
        </is>
      </c>
    </row>
    <row r="21">
      <c r="A21" s="6" t="inlineStr">
        <is>
          <t>DATABASE</t>
        </is>
      </c>
    </row>
    <row r="22">
      <c r="A22" s="9" t="inlineStr">
        <is>
          <t>Done</t>
        </is>
      </c>
      <c r="B22" s="9" t="inlineStr">
        <is>
          <t>Check Item</t>
        </is>
      </c>
      <c r="C22" s="9" t="inlineStr">
        <is>
          <t>Finding</t>
        </is>
      </c>
      <c r="D22" s="9" t="inlineStr">
        <is>
          <t>Notes</t>
        </is>
      </c>
    </row>
    <row r="23">
      <c r="A23" t="inlineStr">
        <is>
          <t>☐</t>
        </is>
      </c>
      <c r="B23" t="inlineStr">
        <is>
          <t>Check RDS instances &lt;20% avg CPU</t>
        </is>
      </c>
    </row>
    <row r="24">
      <c r="A24" t="inlineStr">
        <is>
          <t>☐</t>
        </is>
      </c>
      <c r="B24" t="inlineStr">
        <is>
          <t>Find RDS with zero connections</t>
        </is>
      </c>
    </row>
    <row r="25">
      <c r="A25" t="inlineStr">
        <is>
          <t>☐</t>
        </is>
      </c>
      <c r="B25" t="inlineStr">
        <is>
          <t>Identify Multi-AZ on non-prod</t>
        </is>
      </c>
    </row>
    <row r="26">
      <c r="A26" t="inlineStr">
        <is>
          <t>☐</t>
        </is>
      </c>
      <c r="B26" t="inlineStr">
        <is>
          <t>List old-gen RDS classes</t>
        </is>
      </c>
    </row>
    <row r="27">
      <c r="A27" t="inlineStr">
        <is>
          <t>☐</t>
        </is>
      </c>
      <c r="B27" t="inlineStr">
        <is>
          <t>Review DynamoDB capacity utilization</t>
        </is>
      </c>
    </row>
    <row r="29">
      <c r="A29" s="6" t="inlineStr">
        <is>
          <t>NETWORK</t>
        </is>
      </c>
    </row>
    <row r="30">
      <c r="A30" s="9" t="inlineStr">
        <is>
          <t>Done</t>
        </is>
      </c>
      <c r="B30" s="9" t="inlineStr">
        <is>
          <t>Check Item</t>
        </is>
      </c>
      <c r="C30" s="9" t="inlineStr">
        <is>
          <t>Finding</t>
        </is>
      </c>
      <c r="D30" s="9" t="inlineStr">
        <is>
          <t>Notes</t>
        </is>
      </c>
    </row>
    <row r="31">
      <c r="A31" t="inlineStr">
        <is>
          <t>☐</t>
        </is>
      </c>
      <c r="B31" t="inlineStr">
        <is>
          <t>Review Data Transfer costs</t>
        </is>
      </c>
    </row>
    <row r="32">
      <c r="A32" t="inlineStr">
        <is>
          <t>☐</t>
        </is>
      </c>
      <c r="B32" t="inlineStr">
        <is>
          <t>Check inter-region transfer &gt;$100/mo</t>
        </is>
      </c>
    </row>
    <row r="33">
      <c r="A33" t="inlineStr">
        <is>
          <t>☐</t>
        </is>
      </c>
      <c r="B33" t="inlineStr">
        <is>
          <t>Count NAT Gateways ($32/mo each)</t>
        </is>
      </c>
    </row>
    <row r="34">
      <c r="A34" t="inlineStr">
        <is>
          <t>☐</t>
        </is>
      </c>
      <c r="B34" t="inlineStr">
        <is>
          <t>Find unassociated Elastic IPs</t>
        </is>
      </c>
    </row>
    <row r="35">
      <c r="A35" t="inlineStr">
        <is>
          <t>☐</t>
        </is>
      </c>
      <c r="B35" t="inlineStr">
        <is>
          <t>Check idle load balancers</t>
        </is>
      </c>
    </row>
    <row r="37">
      <c r="A37" s="6" t="inlineStr">
        <is>
          <t>COMMITMENTS</t>
        </is>
      </c>
    </row>
    <row r="38">
      <c r="A38" s="9" t="inlineStr">
        <is>
          <t>Done</t>
        </is>
      </c>
      <c r="B38" s="9" t="inlineStr">
        <is>
          <t>Check Item</t>
        </is>
      </c>
      <c r="C38" s="9" t="inlineStr">
        <is>
          <t>Finding</t>
        </is>
      </c>
      <c r="D38" s="9" t="inlineStr">
        <is>
          <t>Notes</t>
        </is>
      </c>
    </row>
    <row r="39">
      <c r="A39" t="inlineStr">
        <is>
          <t>☐</t>
        </is>
      </c>
      <c r="B39" t="inlineStr">
        <is>
          <t>Check RI utilization (&lt;80% = waste)</t>
        </is>
      </c>
    </row>
    <row r="40">
      <c r="A40" t="inlineStr">
        <is>
          <t>☐</t>
        </is>
      </c>
      <c r="B40" t="inlineStr">
        <is>
          <t>Check Savings Plans utilization</t>
        </is>
      </c>
    </row>
    <row r="41">
      <c r="A41" t="inlineStr">
        <is>
          <t>☐</t>
        </is>
      </c>
      <c r="B41" t="inlineStr">
        <is>
          <t>Identify coverage gaps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zoomScale="130" zoomScaleNormal="130" workbookViewId="0">
      <pane ySplit="3" topLeftCell="A4" activePane="bottomLeft" state="frozen"/>
      <selection pane="bottomLeft" activeCell="G14" sqref="G14"/>
    </sheetView>
  </sheetViews>
  <sheetFormatPr baseColWidth="10" defaultColWidth="8.83203125" defaultRowHeight="15"/>
  <cols>
    <col width="6" customWidth="1" min="1" max="1"/>
    <col width="11" customWidth="1" min="2" max="2"/>
    <col width="22" customWidth="1" min="3" max="3"/>
    <col width="18" customWidth="1" min="4" max="4"/>
    <col width="11" customWidth="1" min="5" max="6"/>
    <col width="11" customWidth="1" min="6" max="6"/>
    <col width="12" customWidth="1" min="7" max="7"/>
    <col width="10" customWidth="1" min="8" max="9"/>
    <col width="8" customWidth="1" min="9" max="9"/>
    <col width="8" customWidth="1" min="10" max="10"/>
    <col width="20" customWidth="1" min="11" max="11"/>
    <col width="10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1" customHeight="1">
      <c r="A1" s="4" t="inlineStr">
        <is>
          <t>Findings Tracker</t>
        </is>
      </c>
    </row>
    <row r="3">
      <c r="A3" s="30" t="inlineStr">
        <is>
          <t>ID</t>
        </is>
      </c>
      <c r="B3" s="30" t="inlineStr">
        <is>
          <t>Category</t>
        </is>
      </c>
      <c r="C3" s="30" t="inlineStr">
        <is>
          <t>Finding</t>
        </is>
      </c>
      <c r="D3" s="30" t="inlineStr">
        <is>
          <t>Resource</t>
        </is>
      </c>
      <c r="E3" s="30" t="inlineStr">
        <is>
          <t>Current $/Mo</t>
        </is>
      </c>
      <c r="F3" s="30" t="inlineStr">
        <is>
          <t>Savings $/Mo</t>
        </is>
      </c>
      <c r="G3" s="30" t="inlineStr">
        <is>
          <t>Annual Savings</t>
        </is>
      </c>
      <c r="H3" s="30" t="inlineStr">
        <is>
          <t>Effort</t>
        </is>
      </c>
      <c r="I3" s="30" t="inlineStr">
        <is>
          <t>Risk</t>
        </is>
      </c>
      <c r="J3" s="30" t="inlineStr">
        <is>
          <t>Priority</t>
        </is>
      </c>
      <c r="K3" s="30" t="inlineStr">
        <is>
          <t>Action</t>
        </is>
      </c>
      <c r="L3" s="30" t="inlineStr">
        <is>
          <t>Owner</t>
        </is>
      </c>
      <c r="M3" s="30" t="inlineStr">
        <is>
          <t>Due Date</t>
        </is>
      </c>
      <c r="N3" s="30" t="inlineStr">
        <is>
          <t>Status</t>
        </is>
      </c>
      <c r="O3" s="30" t="inlineStr">
        <is>
          <t>Actual $/Mo</t>
        </is>
      </c>
      <c r="P3" s="30" t="inlineStr">
        <is>
          <t>Notes</t>
        </is>
      </c>
    </row>
    <row r="4">
      <c r="A4" t="inlineStr">
        <is>
          <t>F001</t>
        </is>
      </c>
      <c r="B4" t="inlineStr">
        <is>
          <t>Compute</t>
        </is>
      </c>
      <c r="C4" t="inlineStr">
        <is>
          <t>Oversized EC2</t>
        </is>
      </c>
      <c r="D4" t="inlineStr">
        <is>
          <t>web-server-1</t>
        </is>
      </c>
      <c r="E4" s="31" t="n">
        <v>140</v>
      </c>
      <c r="F4" s="31" t="n">
        <v>70</v>
      </c>
      <c r="G4" s="31">
        <f>F4*12</f>
        <v/>
      </c>
      <c r="H4" t="inlineStr">
        <is>
          <t>Low</t>
        </is>
      </c>
      <c r="I4" t="inlineStr">
        <is>
          <t>Low</t>
        </is>
      </c>
      <c r="J4" t="inlineStr">
        <is>
          <t>High</t>
        </is>
      </c>
      <c r="K4" t="inlineStr">
        <is>
          <t>Downsize to m5.large</t>
        </is>
      </c>
      <c r="L4" t="inlineStr">
        <is>
          <t>DevOps</t>
        </is>
      </c>
      <c r="N4" t="inlineStr">
        <is>
          <t>Pending</t>
        </is>
      </c>
      <c r="O4" s="31" t="inlineStr"/>
    </row>
    <row r="5">
      <c r="A5" t="inlineStr">
        <is>
          <t>F002</t>
        </is>
      </c>
      <c r="B5" t="inlineStr">
        <is>
          <t>Storage</t>
        </is>
      </c>
      <c r="C5" t="inlineStr">
        <is>
          <t>Unattached EBS</t>
        </is>
      </c>
      <c r="D5" t="inlineStr">
        <is>
          <t>vol-abc123</t>
        </is>
      </c>
      <c r="E5" s="31" t="n">
        <v>50</v>
      </c>
      <c r="F5" s="31" t="n">
        <v>50</v>
      </c>
      <c r="G5" s="31">
        <f>F5*12</f>
        <v/>
      </c>
      <c r="H5" t="inlineStr">
        <is>
          <t>Quick Win</t>
        </is>
      </c>
      <c r="I5" t="inlineStr">
        <is>
          <t>None</t>
        </is>
      </c>
      <c r="J5" t="inlineStr">
        <is>
          <t>High</t>
        </is>
      </c>
      <c r="K5" t="inlineStr">
        <is>
          <t>Delete after backup</t>
        </is>
      </c>
      <c r="L5" t="inlineStr">
        <is>
          <t>DevOps</t>
        </is>
      </c>
      <c r="N5" t="inlineStr">
        <is>
          <t>Pending</t>
        </is>
      </c>
      <c r="O5" s="31" t="inlineStr"/>
      <c r="P5" t="inlineStr">
        <is>
          <t>Verify no data needed</t>
        </is>
      </c>
    </row>
    <row r="6">
      <c r="A6" t="inlineStr">
        <is>
          <t>F003</t>
        </is>
      </c>
      <c r="B6" t="inlineStr">
        <is>
          <t>Storage</t>
        </is>
      </c>
      <c r="C6" t="inlineStr">
        <is>
          <t>gp2 volumes</t>
        </is>
      </c>
      <c r="D6" t="inlineStr">
        <is>
          <t>5 volumes (2TB)</t>
        </is>
      </c>
      <c r="E6" s="31" t="n">
        <v>200</v>
      </c>
      <c r="F6" s="31" t="n">
        <v>0</v>
      </c>
      <c r="G6" s="31">
        <f>F6*12</f>
        <v/>
      </c>
      <c r="H6" t="inlineStr">
        <is>
          <t>Quick Win</t>
        </is>
      </c>
      <c r="I6" t="inlineStr">
        <is>
          <t>None</t>
        </is>
      </c>
      <c r="J6" t="inlineStr">
        <is>
          <t>High</t>
        </is>
      </c>
      <c r="K6" t="inlineStr">
        <is>
          <t>Migrate to gp3</t>
        </is>
      </c>
      <c r="L6" t="inlineStr">
        <is>
          <t>DevOps</t>
        </is>
      </c>
      <c r="N6" t="inlineStr">
        <is>
          <t>Pending</t>
        </is>
      </c>
      <c r="O6" s="31" t="inlineStr"/>
      <c r="P6" t="inlineStr">
        <is>
          <t>Free perf improvement</t>
        </is>
      </c>
    </row>
    <row r="7">
      <c r="A7" s="12" t="inlineStr">
        <is>
          <t>F004</t>
        </is>
      </c>
      <c r="G7" s="31">
        <f>IF(F7&gt;0,F7*12,"")</f>
        <v/>
      </c>
    </row>
    <row r="8">
      <c r="A8" s="12" t="inlineStr">
        <is>
          <t>F005</t>
        </is>
      </c>
      <c r="G8" s="31">
        <f>IF(F8&gt;0,F8*12,"")</f>
        <v/>
      </c>
    </row>
    <row r="9">
      <c r="A9" s="12" t="inlineStr">
        <is>
          <t>F006</t>
        </is>
      </c>
      <c r="G9" s="31">
        <f>IF(F9&gt;0,F9*12,"")</f>
        <v/>
      </c>
    </row>
    <row r="10">
      <c r="A10" s="12" t="inlineStr">
        <is>
          <t>F007</t>
        </is>
      </c>
      <c r="G10" s="31">
        <f>IF(F10&gt;0,F10*12,"")</f>
        <v/>
      </c>
    </row>
    <row r="11">
      <c r="A11" s="12" t="inlineStr">
        <is>
          <t>F008</t>
        </is>
      </c>
      <c r="G11" s="31">
        <f>IF(F11&gt;0,F11*12,"")</f>
        <v/>
      </c>
    </row>
    <row r="12">
      <c r="A12" s="12" t="inlineStr">
        <is>
          <t>F009</t>
        </is>
      </c>
      <c r="G12" s="31">
        <f>IF(F12&gt;0,F12*12,"")</f>
        <v/>
      </c>
    </row>
    <row r="13">
      <c r="A13" s="12" t="inlineStr">
        <is>
          <t>F010</t>
        </is>
      </c>
      <c r="G13" s="31">
        <f>IF(F13&gt;0,F13*12,"")</f>
        <v/>
      </c>
    </row>
    <row r="14">
      <c r="A14" s="12" t="inlineStr">
        <is>
          <t>F011</t>
        </is>
      </c>
      <c r="G14" s="31">
        <f>IF(F14&gt;0,F14*12,"")</f>
        <v/>
      </c>
    </row>
    <row r="15">
      <c r="A15" s="12" t="inlineStr">
        <is>
          <t>F012</t>
        </is>
      </c>
      <c r="G15" s="31">
        <f>IF(F15&gt;0,F15*12,"")</f>
        <v/>
      </c>
    </row>
    <row r="16">
      <c r="A16" s="12" t="inlineStr">
        <is>
          <t>F013</t>
        </is>
      </c>
      <c r="G16" s="31">
        <f>IF(F16&gt;0,F16*12,"")</f>
        <v/>
      </c>
    </row>
    <row r="17">
      <c r="A17" s="12" t="inlineStr">
        <is>
          <t>F014</t>
        </is>
      </c>
      <c r="G17" s="31">
        <f>IF(F17&gt;0,F17*12,"")</f>
        <v/>
      </c>
    </row>
    <row r="18">
      <c r="A18" s="12" t="inlineStr">
        <is>
          <t>F015</t>
        </is>
      </c>
      <c r="G18" s="31">
        <f>IF(F18&gt;0,F18*12,"")</f>
        <v/>
      </c>
    </row>
    <row r="19">
      <c r="A19" s="12" t="inlineStr">
        <is>
          <t>F016</t>
        </is>
      </c>
      <c r="G19" s="31">
        <f>IF(F19&gt;0,F19*12,"")</f>
        <v/>
      </c>
    </row>
    <row r="20">
      <c r="A20" s="12" t="inlineStr">
        <is>
          <t>F017</t>
        </is>
      </c>
      <c r="G20" s="31">
        <f>IF(F20&gt;0,F20*12,"")</f>
        <v/>
      </c>
    </row>
    <row r="21">
      <c r="A21" s="12" t="inlineStr">
        <is>
          <t>F018</t>
        </is>
      </c>
      <c r="G21" s="31">
        <f>IF(F21&gt;0,F21*12,"")</f>
        <v/>
      </c>
    </row>
    <row r="22">
      <c r="A22" s="12" t="inlineStr">
        <is>
          <t>F019</t>
        </is>
      </c>
      <c r="G22" s="31">
        <f>IF(F22&gt;0,F22*12,"")</f>
        <v/>
      </c>
    </row>
    <row r="23">
      <c r="A23" s="12" t="inlineStr">
        <is>
          <t>F020</t>
        </is>
      </c>
      <c r="G23" s="31">
        <f>IF(F23&gt;0,F23*12,"")</f>
        <v/>
      </c>
    </row>
    <row r="24">
      <c r="A24" s="12" t="inlineStr">
        <is>
          <t>F021</t>
        </is>
      </c>
      <c r="G24" s="31">
        <f>IF(F24&gt;0,F24*12,"")</f>
        <v/>
      </c>
    </row>
    <row r="25">
      <c r="A25" s="12" t="inlineStr">
        <is>
          <t>F022</t>
        </is>
      </c>
      <c r="G25" s="31">
        <f>IF(F25&gt;0,F25*12,"")</f>
        <v/>
      </c>
    </row>
    <row r="26">
      <c r="A26" s="12" t="inlineStr">
        <is>
          <t>F023</t>
        </is>
      </c>
      <c r="G26" s="31">
        <f>IF(F26&gt;0,F26*12,"")</f>
        <v/>
      </c>
    </row>
    <row r="27">
      <c r="A27" s="12" t="inlineStr">
        <is>
          <t>F024</t>
        </is>
      </c>
      <c r="G27" s="31">
        <f>IF(F27&gt;0,F27*12,"")</f>
        <v/>
      </c>
    </row>
    <row r="28">
      <c r="A28" s="12" t="inlineStr">
        <is>
          <t>F025</t>
        </is>
      </c>
      <c r="G28" s="31">
        <f>IF(F28&gt;0,F28*12,"")</f>
        <v/>
      </c>
    </row>
    <row r="29">
      <c r="A29" s="12" t="inlineStr">
        <is>
          <t>F026</t>
        </is>
      </c>
      <c r="G29" s="31">
        <f>IF(F29&gt;0,F29*12,"")</f>
        <v/>
      </c>
    </row>
    <row r="30">
      <c r="A30" s="12" t="inlineStr">
        <is>
          <t>F027</t>
        </is>
      </c>
      <c r="G30" s="31">
        <f>IF(F30&gt;0,F30*12,"")</f>
        <v/>
      </c>
    </row>
    <row r="31">
      <c r="A31" s="12" t="inlineStr">
        <is>
          <t>F028</t>
        </is>
      </c>
      <c r="G31" s="31">
        <f>IF(F31&gt;0,F31*12,"")</f>
        <v/>
      </c>
    </row>
    <row r="32">
      <c r="A32" s="12" t="inlineStr">
        <is>
          <t>F029</t>
        </is>
      </c>
      <c r="G32" s="31">
        <f>IF(F32&gt;0,F32*12,"")</f>
        <v/>
      </c>
    </row>
    <row r="33">
      <c r="A33" s="12" t="inlineStr">
        <is>
          <t>F030</t>
        </is>
      </c>
      <c r="G33" s="31">
        <f>IF(F33&gt;0,F33*12,"")</f>
        <v/>
      </c>
    </row>
    <row r="34">
      <c r="A34" s="12" t="inlineStr">
        <is>
          <t>F031</t>
        </is>
      </c>
      <c r="G34" s="31">
        <f>IF(F34&gt;0,F34*12,"")</f>
        <v/>
      </c>
    </row>
    <row r="35">
      <c r="A35" s="12" t="inlineStr">
        <is>
          <t>F032</t>
        </is>
      </c>
      <c r="G35" s="31">
        <f>IF(F35&gt;0,F35*12,"")</f>
        <v/>
      </c>
    </row>
    <row r="36">
      <c r="A36" s="12" t="inlineStr">
        <is>
          <t>F033</t>
        </is>
      </c>
      <c r="G36" s="31">
        <f>IF(F36&gt;0,F36*12,"")</f>
        <v/>
      </c>
    </row>
    <row r="37">
      <c r="A37" s="12" t="inlineStr">
        <is>
          <t>F034</t>
        </is>
      </c>
      <c r="G37" s="31">
        <f>IF(F37&gt;0,F37*12,"")</f>
        <v/>
      </c>
    </row>
    <row r="38">
      <c r="A38" s="12" t="inlineStr">
        <is>
          <t>F035</t>
        </is>
      </c>
      <c r="G38" s="31">
        <f>IF(F38&gt;0,F38*12,"")</f>
        <v/>
      </c>
    </row>
    <row r="39">
      <c r="A39" s="12" t="inlineStr">
        <is>
          <t>F036</t>
        </is>
      </c>
      <c r="G39" s="31">
        <f>IF(F39&gt;0,F39*12,"")</f>
        <v/>
      </c>
    </row>
    <row r="40">
      <c r="G40" s="31">
        <f>IF(F40&gt;0,F40*12,"")</f>
        <v/>
      </c>
    </row>
    <row r="41">
      <c r="D41" s="7" t="inlineStr">
        <is>
          <t>TOTAL</t>
        </is>
      </c>
      <c r="E41" s="10">
        <f>SUM(E4:E40)</f>
        <v/>
      </c>
      <c r="F41" s="13">
        <f>SUM(F4:F40)</f>
        <v/>
      </c>
      <c r="G41" s="31">
        <f>IF(F41&gt;0,F41*12,"")</f>
        <v/>
      </c>
    </row>
    <row r="42">
      <c r="G42" s="31">
        <f>IF(F42&gt;0,F42*12,"")</f>
        <v/>
      </c>
    </row>
    <row r="43">
      <c r="G43" s="31">
        <f>IF(F43&gt;0,F43*12,"")</f>
        <v/>
      </c>
    </row>
    <row r="44">
      <c r="G44" s="31">
        <f>IF(F44&gt;0,F44*12,"")</f>
        <v/>
      </c>
    </row>
    <row r="45">
      <c r="G45" s="31">
        <f>IF(F45&gt;0,F45*12,"")</f>
        <v/>
      </c>
    </row>
    <row r="46">
      <c r="G46" s="31">
        <f>IF(F46&gt;0,F46*12,"")</f>
        <v/>
      </c>
    </row>
    <row r="47">
      <c r="G47" s="31">
        <f>IF(F47&gt;0,F47*12,"")</f>
        <v/>
      </c>
    </row>
    <row r="48">
      <c r="G48" s="31">
        <f>IF(F48&gt;0,F48*12,"")</f>
        <v/>
      </c>
    </row>
    <row r="49">
      <c r="G49" s="31">
        <f>IF(F49&gt;0,F49*12,"")</f>
        <v/>
      </c>
    </row>
    <row r="50">
      <c r="G50" s="31">
        <f>IF(F50&gt;0,F50*12,"")</f>
        <v/>
      </c>
    </row>
    <row r="52">
      <c r="D52" s="32" t="inlineStr">
        <is>
          <t>TOTALS</t>
        </is>
      </c>
      <c r="E52" s="33">
        <f>SUM(E4:E50)</f>
        <v/>
      </c>
      <c r="F52" s="34">
        <f>SUM(F4:F50)</f>
        <v/>
      </c>
      <c r="G52" s="34">
        <f>SUM(G4:G50)</f>
        <v/>
      </c>
      <c r="O52" s="35">
        <f>SUM(O4:O50)</f>
        <v/>
      </c>
    </row>
    <row r="53">
      <c r="D53" s="36" t="inlineStr">
        <is>
          <t>Est. vs Actual</t>
        </is>
      </c>
      <c r="F53" s="37">
        <f>F52-O52</f>
        <v/>
      </c>
    </row>
  </sheetData>
  <autoFilter ref="A3:P50"/>
  <conditionalFormatting sqref="J4:J50">
    <cfRule type="expression" priority="1" dxfId="0">
      <formula>$J4="High"</formula>
    </cfRule>
    <cfRule type="expression" priority="2" dxfId="1">
      <formula>$J4="Medium"</formula>
    </cfRule>
    <cfRule type="expression" priority="3" dxfId="2">
      <formula>$J4="Low"</formula>
    </cfRule>
    <cfRule type="expression" priority="4" dxfId="3">
      <formula>$J4="Skip"</formula>
    </cfRule>
  </conditionalFormatting>
  <conditionalFormatting sqref="N4:N50">
    <cfRule type="expression" priority="5" dxfId="4">
      <formula>$N4="Done"</formula>
    </cfRule>
    <cfRule type="expression" priority="6" dxfId="5">
      <formula>$N4="In Progress"</formula>
    </cfRule>
    <cfRule type="expression" priority="7" dxfId="0">
      <formula>$N4="Blocked"</formula>
    </cfRule>
  </conditionalFormatting>
  <dataValidations count="5">
    <dataValidation sqref="B4:B50" showDropDown="0" showInputMessage="0" showErrorMessage="0" allowBlank="1" errorTitle="Invalid Category" error="Please select from dropdown" type="list">
      <formula1>"Compute,Storage,Database,Network,Commitments,Other"</formula1>
    </dataValidation>
    <dataValidation sqref="H4:H50" showDropDown="0" showInputMessage="0" showErrorMessage="0" allowBlank="1" errorTitle="Invalid Effort" error="Please select from dropdown" type="list">
      <formula1>"Quick Win,Low,Medium,High"</formula1>
    </dataValidation>
    <dataValidation sqref="I4:I50" showDropDown="0" showInputMessage="0" showErrorMessage="0" allowBlank="1" errorTitle="Invalid Risk" error="Please select from dropdown" type="list">
      <formula1>"None,Low,Medium,High"</formula1>
    </dataValidation>
    <dataValidation sqref="J4:J50" showDropDown="0" showInputMessage="0" showErrorMessage="0" allowBlank="1" errorTitle="Invalid Priority" error="Please select from dropdown" type="list">
      <formula1>"High,Medium,Low,Skip"</formula1>
    </dataValidation>
    <dataValidation sqref="N4:N50" showDropDown="0" showInputMessage="0" showErrorMessage="0" allowBlank="1" errorTitle="Invalid Status" error="Please select from dropdown" type="list">
      <formula1>"Pending,In Progress,Done,Blocked,Cancelled"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13" zoomScale="120" zoomScaleNormal="120" workbookViewId="0">
      <selection activeCell="C36" sqref="C36"/>
    </sheetView>
  </sheetViews>
  <sheetFormatPr baseColWidth="10" defaultColWidth="8.83203125" defaultRowHeight="15"/>
  <cols>
    <col width="18" customWidth="1" min="1" max="6"/>
  </cols>
  <sheetData>
    <row r="1" ht="21" customHeight="1">
      <c r="A1" s="4" t="inlineStr">
        <is>
          <t>Implementation Plan</t>
        </is>
      </c>
    </row>
    <row r="3" ht="16" customHeight="1">
      <c r="A3" s="14" t="inlineStr">
        <is>
          <t>Priority Matrix</t>
        </is>
      </c>
    </row>
    <row r="4">
      <c r="A4" s="7" t="n"/>
      <c r="B4" s="7" t="inlineStr">
        <is>
          <t>Low Effort</t>
        </is>
      </c>
      <c r="C4" s="7" t="inlineStr">
        <is>
          <t>High Effort</t>
        </is>
      </c>
    </row>
    <row r="5">
      <c r="A5" s="7" t="inlineStr">
        <is>
          <t>High Impact</t>
        </is>
      </c>
      <c r="B5" s="15" t="inlineStr">
        <is>
          <t>DO FIRST</t>
        </is>
      </c>
      <c r="C5" s="16" t="inlineStr">
        <is>
          <t>PLAN NEXT</t>
        </is>
      </c>
    </row>
    <row r="6">
      <c r="A6" s="7" t="inlineStr">
        <is>
          <t>Low Impact</t>
        </is>
      </c>
      <c r="B6" s="8" t="inlineStr">
        <is>
          <t>MAYBE</t>
        </is>
      </c>
      <c r="C6" s="17" t="inlineStr">
        <is>
          <t>SKIP</t>
        </is>
      </c>
    </row>
    <row r="9">
      <c r="A9" s="18" t="inlineStr">
        <is>
          <t>Week 1: Quick Wins</t>
        </is>
      </c>
    </row>
    <row r="10">
      <c r="A10" s="9" t="inlineStr">
        <is>
          <t>Finding ID</t>
        </is>
      </c>
      <c r="B10" s="9" t="inlineStr">
        <is>
          <t>Action</t>
        </is>
      </c>
      <c r="C10" s="9" t="inlineStr">
        <is>
          <t>Owner</t>
        </is>
      </c>
      <c r="D10" s="9" t="inlineStr">
        <is>
          <t>Target Date</t>
        </is>
      </c>
      <c r="E10" s="9" t="inlineStr">
        <is>
          <t>Done</t>
        </is>
      </c>
      <c r="F10" s="9" t="inlineStr">
        <is>
          <t>Savings</t>
        </is>
      </c>
    </row>
    <row r="16">
      <c r="A16" s="19" t="inlineStr">
        <is>
          <t>Weeks 2-3: Low Effort</t>
        </is>
      </c>
    </row>
    <row r="17">
      <c r="A17" s="9" t="inlineStr">
        <is>
          <t>Finding ID</t>
        </is>
      </c>
      <c r="B17" s="9" t="inlineStr">
        <is>
          <t>Action</t>
        </is>
      </c>
      <c r="C17" s="9" t="inlineStr">
        <is>
          <t>Owner</t>
        </is>
      </c>
      <c r="D17" s="9" t="inlineStr">
        <is>
          <t>Target Date</t>
        </is>
      </c>
      <c r="E17" s="9" t="inlineStr">
        <is>
          <t>Done</t>
        </is>
      </c>
      <c r="F17" s="9" t="inlineStr">
        <is>
          <t>Savings</t>
        </is>
      </c>
    </row>
    <row r="23">
      <c r="A23" s="20" t="inlineStr">
        <is>
          <t>Week 4+: Strategic</t>
        </is>
      </c>
    </row>
    <row r="24">
      <c r="A24" s="9" t="inlineStr">
        <is>
          <t>Finding ID</t>
        </is>
      </c>
      <c r="B24" s="9" t="inlineStr">
        <is>
          <t>Action</t>
        </is>
      </c>
      <c r="C24" s="9" t="inlineStr">
        <is>
          <t>Owner</t>
        </is>
      </c>
      <c r="D24" s="9" t="inlineStr">
        <is>
          <t>Target Date</t>
        </is>
      </c>
      <c r="E24" s="9" t="inlineStr">
        <is>
          <t>Done</t>
        </is>
      </c>
      <c r="F24" s="9" t="inlineStr">
        <is>
          <t>Savings</t>
        </is>
      </c>
    </row>
    <row r="30">
      <c r="A30" s="6" t="inlineStr">
        <is>
          <t>Rollback Guidance</t>
        </is>
      </c>
    </row>
    <row r="31">
      <c r="A31" t="inlineStr">
        <is>
          <t>Change</t>
        </is>
      </c>
      <c r="B31" t="inlineStr">
        <is>
          <t>Rollback</t>
        </is>
      </c>
      <c r="C31" t="inlineStr">
        <is>
          <t>Time</t>
        </is>
      </c>
    </row>
    <row r="32">
      <c r="A32" t="inlineStr">
        <is>
          <t>Instance resize</t>
        </is>
      </c>
      <c r="B32" t="inlineStr">
        <is>
          <t>Resize back</t>
        </is>
      </c>
      <c r="C32" t="inlineStr">
        <is>
          <t>Minutes</t>
        </is>
      </c>
    </row>
    <row r="33">
      <c r="A33" t="inlineStr">
        <is>
          <t>Multi-AZ removal</t>
        </is>
      </c>
      <c r="B33" t="inlineStr">
        <is>
          <t>Re-enable</t>
        </is>
      </c>
      <c r="C33" t="inlineStr">
        <is>
          <t>10-30 min</t>
        </is>
      </c>
    </row>
    <row r="34">
      <c r="A34" t="inlineStr">
        <is>
          <t>Snapshot deletion</t>
        </is>
      </c>
      <c r="B34" s="21" t="inlineStr">
        <is>
          <t>IRREVERSIBLE</t>
        </is>
      </c>
      <c r="C34" t="inlineStr">
        <is>
          <t>N/A</t>
        </is>
      </c>
    </row>
    <row r="35">
      <c r="A35" t="inlineStr">
        <is>
          <t>Savings Plans</t>
        </is>
      </c>
      <c r="B35" s="21" t="inlineStr">
        <is>
          <t>IRREVERSIBLE</t>
        </is>
      </c>
      <c r="C35" t="inlineStr">
        <is>
          <t>N/A</t>
        </is>
      </c>
    </row>
  </sheetData>
  <dataValidations count="1">
    <dataValidation sqref="E12:E15 E19:E22 E26:E29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8" zoomScale="120" zoomScaleNormal="120" workbookViewId="0">
      <selection activeCell="H18" sqref="H18"/>
    </sheetView>
  </sheetViews>
  <sheetFormatPr baseColWidth="10" defaultColWidth="8.83203125" defaultRowHeight="15"/>
  <cols>
    <col width="6" customWidth="1" min="1" max="1"/>
    <col width="35" customWidth="1" min="2" max="2"/>
    <col width="15" customWidth="1" min="3" max="3"/>
  </cols>
  <sheetData>
    <row r="1" ht="21" customHeight="1">
      <c r="A1" s="4" t="inlineStr">
        <is>
          <t>Monitoring Setup</t>
        </is>
      </c>
    </row>
    <row r="3">
      <c r="A3" s="22" t="inlineStr">
        <is>
          <t>AWS Budgets</t>
        </is>
      </c>
    </row>
    <row r="4">
      <c r="A4" s="9" t="inlineStr">
        <is>
          <t>Done</t>
        </is>
      </c>
      <c r="B4" s="9" t="inlineStr">
        <is>
          <t>Task</t>
        </is>
      </c>
      <c r="C4" s="9" t="inlineStr">
        <is>
          <t>Date</t>
        </is>
      </c>
    </row>
    <row r="5">
      <c r="A5" t="inlineStr">
        <is>
          <t>☐</t>
        </is>
      </c>
      <c r="B5" t="inlineStr">
        <is>
          <t>Create monthly budget</t>
        </is>
      </c>
    </row>
    <row r="6">
      <c r="A6" t="inlineStr">
        <is>
          <t>☐</t>
        </is>
      </c>
      <c r="B6" t="inlineStr">
        <is>
          <t>Set 80% alert</t>
        </is>
      </c>
    </row>
    <row r="7">
      <c r="A7" t="inlineStr">
        <is>
          <t>☐</t>
        </is>
      </c>
      <c r="B7" t="inlineStr">
        <is>
          <t>Set 100% alert</t>
        </is>
      </c>
    </row>
    <row r="8">
      <c r="A8" t="inlineStr">
        <is>
          <t>☐</t>
        </is>
      </c>
      <c r="B8" t="inlineStr">
        <is>
          <t>Per-service budgets (top 5)</t>
        </is>
      </c>
    </row>
    <row r="10">
      <c r="A10" s="22" t="inlineStr">
        <is>
          <t>Cost Anomaly Detection</t>
        </is>
      </c>
    </row>
    <row r="11">
      <c r="A11" s="9" t="inlineStr">
        <is>
          <t>Done</t>
        </is>
      </c>
      <c r="B11" s="9" t="inlineStr">
        <is>
          <t>Task</t>
        </is>
      </c>
      <c r="C11" s="9" t="inlineStr">
        <is>
          <t>Date</t>
        </is>
      </c>
    </row>
    <row r="12">
      <c r="A12" t="inlineStr">
        <is>
          <t>☐</t>
        </is>
      </c>
      <c r="B12" t="inlineStr">
        <is>
          <t>Enable service (free)</t>
        </is>
      </c>
    </row>
    <row r="13">
      <c r="A13" t="inlineStr">
        <is>
          <t>☐</t>
        </is>
      </c>
      <c r="B13" t="inlineStr">
        <is>
          <t>Configure threshold</t>
        </is>
      </c>
    </row>
    <row r="14">
      <c r="A14" t="inlineStr">
        <is>
          <t>☐</t>
        </is>
      </c>
      <c r="B14" t="inlineStr">
        <is>
          <t>Set up notifications</t>
        </is>
      </c>
    </row>
    <row r="15">
      <c r="A15" t="inlineStr">
        <is>
          <t>☐</t>
        </is>
      </c>
      <c r="B15" t="inlineStr">
        <is>
          <t>Weekly review</t>
        </is>
      </c>
    </row>
    <row r="17">
      <c r="A17" s="22" t="inlineStr">
        <is>
          <t>Monthly Review (30 min)</t>
        </is>
      </c>
    </row>
    <row r="18">
      <c r="A18" s="9" t="inlineStr">
        <is>
          <t>Done</t>
        </is>
      </c>
      <c r="B18" s="9" t="inlineStr">
        <is>
          <t>Task</t>
        </is>
      </c>
      <c r="C18" s="9" t="inlineStr">
        <is>
          <t>Date</t>
        </is>
      </c>
    </row>
    <row r="19">
      <c r="A19" t="inlineStr">
        <is>
          <t>☐</t>
        </is>
      </c>
      <c r="B19" t="inlineStr">
        <is>
          <t>Cost trend vs baseline</t>
        </is>
      </c>
    </row>
    <row r="20">
      <c r="A20" t="inlineStr">
        <is>
          <t>☐</t>
        </is>
      </c>
      <c r="B20" t="inlineStr">
        <is>
          <t>Top services growth</t>
        </is>
      </c>
    </row>
    <row r="21">
      <c r="A21" t="inlineStr">
        <is>
          <t>☐</t>
        </is>
      </c>
      <c r="B21" t="inlineStr">
        <is>
          <t>Commitment utilization</t>
        </is>
      </c>
    </row>
    <row r="22">
      <c r="A22" t="inlineStr">
        <is>
          <t>☐</t>
        </is>
      </c>
      <c r="B22" t="inlineStr">
        <is>
          <t>New resources check</t>
        </is>
      </c>
    </row>
    <row r="24">
      <c r="A24" s="22" t="inlineStr">
        <is>
          <t>Quarterly Deep Dive (1-2 hrs)</t>
        </is>
      </c>
    </row>
    <row r="25">
      <c r="A25" s="9" t="inlineStr">
        <is>
          <t>Done</t>
        </is>
      </c>
      <c r="B25" s="9" t="inlineStr">
        <is>
          <t>Task</t>
        </is>
      </c>
      <c r="C25" s="9" t="inlineStr">
        <is>
          <t>Date</t>
        </is>
      </c>
    </row>
    <row r="26">
      <c r="A26" t="inlineStr">
        <is>
          <t>☐</t>
        </is>
      </c>
      <c r="B26" t="inlineStr">
        <is>
          <t>Review new workloads</t>
        </is>
      </c>
    </row>
    <row r="27">
      <c r="A27" t="inlineStr">
        <is>
          <t>☐</t>
        </is>
      </c>
      <c r="B27" t="inlineStr">
        <is>
          <t>Usage pattern changes</t>
        </is>
      </c>
    </row>
    <row r="28">
      <c r="A28" t="inlineStr">
        <is>
          <t>☐</t>
        </is>
      </c>
      <c r="B28" t="inlineStr">
        <is>
          <t>New AWS pricing options</t>
        </is>
      </c>
    </row>
    <row r="29">
      <c r="A29" t="inlineStr">
        <is>
          <t>☐</t>
        </is>
      </c>
      <c r="B29" t="inlineStr">
        <is>
          <t>Re-run Compute Optimizer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M18" sqref="M18"/>
    </sheetView>
  </sheetViews>
  <sheetFormatPr baseColWidth="10" defaultColWidth="8.83203125" defaultRowHeight="15"/>
  <cols>
    <col width="20" customWidth="1" min="1" max="3"/>
  </cols>
  <sheetData>
    <row r="1" ht="24" customHeight="1">
      <c r="A1" s="1" t="inlineStr">
        <is>
          <t>Audit Summary</t>
        </is>
      </c>
    </row>
    <row r="3">
      <c r="A3" s="6" t="inlineStr">
        <is>
          <t>Overview</t>
        </is>
      </c>
    </row>
    <row r="4">
      <c r="A4" s="7" t="inlineStr">
        <is>
          <t>Audit Date</t>
        </is>
      </c>
      <c r="B4">
        <f>Baseline!B5</f>
        <v/>
      </c>
    </row>
    <row r="5">
      <c r="A5" s="7" t="inlineStr">
        <is>
          <t>Account</t>
        </is>
      </c>
      <c r="B5">
        <f>Baseline!B7</f>
        <v/>
      </c>
    </row>
    <row r="6">
      <c r="A6" s="7" t="inlineStr">
        <is>
          <t>Baseline Spend</t>
        </is>
      </c>
      <c r="B6" s="10">
        <f>Baseline!B15</f>
        <v/>
      </c>
    </row>
    <row r="7">
      <c r="A7" s="7" t="inlineStr">
        <is>
          <t>Total Findings</t>
        </is>
      </c>
      <c r="B7">
        <f>COUNTA('Findings Tracker'!C4:C40)</f>
        <v/>
      </c>
    </row>
    <row r="8">
      <c r="A8" s="7" t="inlineStr">
        <is>
          <t>Est. Savings</t>
        </is>
      </c>
      <c r="B8" s="10">
        <f>'Findings Tracker'!F41</f>
        <v/>
      </c>
    </row>
    <row r="9">
      <c r="A9" s="7" t="inlineStr">
        <is>
          <t>Savings %</t>
        </is>
      </c>
      <c r="B9" s="11">
        <f>IF(Baseline!B15&gt;0,'Findings Tracker'!F41/Baseline!B15,0)</f>
        <v/>
      </c>
    </row>
    <row r="12">
      <c r="A12" s="6" t="inlineStr">
        <is>
          <t>By Category</t>
        </is>
      </c>
    </row>
    <row r="13">
      <c r="A13" s="9" t="inlineStr">
        <is>
          <t>Category</t>
        </is>
      </c>
      <c r="B13" s="9" t="inlineStr">
        <is>
          <t>Count</t>
        </is>
      </c>
      <c r="C13" s="9" t="inlineStr">
        <is>
          <t>Savings</t>
        </is>
      </c>
    </row>
    <row r="14">
      <c r="A14" t="inlineStr">
        <is>
          <t>Compute</t>
        </is>
      </c>
      <c r="B14">
        <f>COUNTIF('Findings Tracker'!B:B,A14)</f>
        <v/>
      </c>
      <c r="C14" s="10">
        <f>SUMIF('Findings Tracker'!B:B,A14,'Findings Tracker'!F:F)</f>
        <v/>
      </c>
    </row>
    <row r="15">
      <c r="A15" t="inlineStr">
        <is>
          <t>Storage</t>
        </is>
      </c>
      <c r="B15">
        <f>COUNTIF('Findings Tracker'!B:B,A15)</f>
        <v/>
      </c>
      <c r="C15" s="10">
        <f>SUMIF('Findings Tracker'!B:B,A15,'Findings Tracker'!F:F)</f>
        <v/>
      </c>
    </row>
    <row r="16">
      <c r="A16" t="inlineStr">
        <is>
          <t>Database</t>
        </is>
      </c>
      <c r="B16">
        <f>COUNTIF('Findings Tracker'!B:B,A16)</f>
        <v/>
      </c>
      <c r="C16" s="10">
        <f>SUMIF('Findings Tracker'!B:B,A16,'Findings Tracker'!F:F)</f>
        <v/>
      </c>
    </row>
    <row r="17">
      <c r="A17" t="inlineStr">
        <is>
          <t>Network</t>
        </is>
      </c>
      <c r="B17">
        <f>COUNTIF('Findings Tracker'!B:B,A17)</f>
        <v/>
      </c>
      <c r="C17" s="10">
        <f>SUMIF('Findings Tracker'!B:B,A17,'Findings Tracker'!F:F)</f>
        <v/>
      </c>
    </row>
    <row r="18">
      <c r="A18" t="inlineStr">
        <is>
          <t>Commitments</t>
        </is>
      </c>
      <c r="B18">
        <f>COUNTIF('Findings Tracker'!B:B,A18)</f>
        <v/>
      </c>
      <c r="C18" s="10">
        <f>SUMIF('Findings Tracker'!B:B,A18,'Findings Tracker'!F:F)</f>
        <v/>
      </c>
    </row>
    <row r="21">
      <c r="A21" s="29" t="inlineStr">
        <is>
          <t>Template by INNOMIZE</t>
        </is>
      </c>
    </row>
    <row r="22">
      <c r="A22" s="25" t="inlineStr">
        <is>
          <t>www.innomizetech.com</t>
        </is>
      </c>
    </row>
    <row r="25">
      <c r="A25" s="38" t="inlineStr">
        <is>
          <t>Progress Tracking</t>
        </is>
      </c>
    </row>
    <row r="26">
      <c r="A26" t="inlineStr">
        <is>
          <t>Total Findings</t>
        </is>
      </c>
      <c r="B26">
        <f>COUNTA('Findings Tracker'!C4:C50)</f>
        <v/>
      </c>
    </row>
    <row r="27">
      <c r="A27" t="inlineStr">
        <is>
          <t>Completed</t>
        </is>
      </c>
      <c r="B27">
        <f>COUNTIF('Findings Tracker'!N4:N50,"Done")</f>
        <v/>
      </c>
    </row>
    <row r="28">
      <c r="A28" t="inlineStr">
        <is>
          <t>In Progress</t>
        </is>
      </c>
      <c r="B28">
        <f>COUNTIF('Findings Tracker'!N4:N50,"In Progress")</f>
        <v/>
      </c>
    </row>
    <row r="29">
      <c r="A29" t="inlineStr">
        <is>
          <t>Blocked</t>
        </is>
      </c>
      <c r="B29">
        <f>COUNTIF('Findings Tracker'!N4:N50,"Blocked")</f>
        <v/>
      </c>
    </row>
    <row r="30">
      <c r="A30" t="inlineStr">
        <is>
          <t>Completion %</t>
        </is>
      </c>
      <c r="B30" s="39">
        <f>IF(B26&gt;0,B27/B26,0)</f>
        <v/>
      </c>
    </row>
    <row r="32">
      <c r="A32" s="38" t="inlineStr">
        <is>
          <t>Realized Savings</t>
        </is>
      </c>
    </row>
    <row r="33">
      <c r="A33" t="inlineStr">
        <is>
          <t>Estimated (Monthly)</t>
        </is>
      </c>
      <c r="B33" s="31">
        <f>'Findings Tracker'!F52</f>
        <v/>
      </c>
    </row>
    <row r="34">
      <c r="A34" t="inlineStr">
        <is>
          <t>Actual (Monthly)</t>
        </is>
      </c>
      <c r="B34" s="31">
        <f>'Findings Tracker'!O52</f>
        <v/>
      </c>
    </row>
    <row r="35">
      <c r="A35" t="inlineStr">
        <is>
          <t>Variance</t>
        </is>
      </c>
      <c r="B35" s="31">
        <f>B33-B34</f>
        <v/>
      </c>
    </row>
    <row r="36">
      <c r="A36" t="inlineStr">
        <is>
          <t>Annual Projected</t>
        </is>
      </c>
      <c r="B36" s="34">
        <f>'Findings Tracker'!G52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0" t="inlineStr">
        <is>
          <t>Quick Reference Card</t>
        </is>
      </c>
    </row>
    <row r="2"/>
    <row r="3">
      <c r="A3" s="41" t="inlineStr">
        <is>
          <t>Top 10 Quick Wins</t>
        </is>
      </c>
    </row>
    <row r="4">
      <c r="A4" t="inlineStr">
        <is>
          <t>1. Delete unattached EBS volumes</t>
        </is>
      </c>
      <c r="B4" s="36" t="inlineStr">
        <is>
          <t>EC2 &gt; Volumes &gt; Available</t>
        </is>
      </c>
    </row>
    <row r="5">
      <c r="A5" t="inlineStr">
        <is>
          <t>2. Migrate gp2 to gp3</t>
        </is>
      </c>
      <c r="B5" s="36" t="inlineStr">
        <is>
          <t>Free performance boost</t>
        </is>
      </c>
    </row>
    <row r="6">
      <c r="A6" t="inlineStr">
        <is>
          <t>3. Release unused Elastic IPs</t>
        </is>
      </c>
      <c r="B6" s="36" t="inlineStr">
        <is>
          <t>$3.60/mo each</t>
        </is>
      </c>
    </row>
    <row r="7">
      <c r="A7" t="inlineStr">
        <is>
          <t>4. Remove old snapshots (&gt;90 days)</t>
        </is>
      </c>
      <c r="B7" s="36" t="inlineStr">
        <is>
          <t>Check compliance first</t>
        </is>
      </c>
    </row>
    <row r="8">
      <c r="A8" t="inlineStr">
        <is>
          <t>5. Enable S3 lifecycle policies</t>
        </is>
      </c>
      <c r="B8" s="36" t="inlineStr">
        <is>
          <t>Buckets &gt;1TB</t>
        </is>
      </c>
    </row>
    <row r="9">
      <c r="A9" t="inlineStr">
        <is>
          <t>6. Right-size EC2 (&lt;20% CPU)</t>
        </is>
      </c>
      <c r="B9" s="36" t="inlineStr">
        <is>
          <t>Use Compute Optimizer</t>
        </is>
      </c>
    </row>
    <row r="10">
      <c r="A10" t="inlineStr">
        <is>
          <t>7. Remove Multi-AZ from dev/test RDS</t>
        </is>
      </c>
      <c r="B10" s="36" t="inlineStr">
        <is>
          <t>Doubles cost</t>
        </is>
      </c>
    </row>
    <row r="11">
      <c r="A11" t="inlineStr">
        <is>
          <t>8. Delete orphaned snapshots</t>
        </is>
      </c>
      <c r="B11" s="36" t="inlineStr">
        <is>
          <t>From deleted volumes</t>
        </is>
      </c>
    </row>
    <row r="12">
      <c r="A12" t="inlineStr">
        <is>
          <t>9. Check NAT Gateway necessity</t>
        </is>
      </c>
      <c r="B12" s="36" t="inlineStr">
        <is>
          <t>$32/mo + data</t>
        </is>
      </c>
    </row>
    <row r="13">
      <c r="A13" t="inlineStr">
        <is>
          <t>10. Review idle load balancers</t>
        </is>
      </c>
      <c r="B13" s="36" t="inlineStr">
        <is>
          <t>Zero requests = delete</t>
        </is>
      </c>
    </row>
    <row r="14"/>
    <row r="15"/>
    <row r="16">
      <c r="A16" s="41" t="inlineStr">
        <is>
          <t>Useful AWS Console Links</t>
        </is>
      </c>
    </row>
    <row r="17">
      <c r="A17" s="32" t="inlineStr">
        <is>
          <t>Cost Explorer</t>
        </is>
      </c>
      <c r="B17" s="44" t="inlineStr">
        <is>
          <t>https://console.aws.amazon.com/cost-management/home#/cost-explorer</t>
        </is>
      </c>
    </row>
    <row r="18">
      <c r="A18" s="32" t="inlineStr">
        <is>
          <t>Compute Optimizer</t>
        </is>
      </c>
      <c r="B18" s="44" t="inlineStr">
        <is>
          <t>https://console.aws.amazon.com/compute-optimizer</t>
        </is>
      </c>
    </row>
    <row r="19">
      <c r="A19" s="32" t="inlineStr">
        <is>
          <t>Trusted Advisor</t>
        </is>
      </c>
      <c r="B19" s="44" t="inlineStr">
        <is>
          <t>https://console.aws.amazon.com/trustedadvisor</t>
        </is>
      </c>
    </row>
    <row r="20">
      <c r="A20" s="32" t="inlineStr">
        <is>
          <t>S3 Storage Lens</t>
        </is>
      </c>
      <c r="B20" s="44" t="inlineStr">
        <is>
          <t>https://console.aws.amazon.com/s3/storage-lens</t>
        </is>
      </c>
    </row>
    <row r="21">
      <c r="A21" s="32" t="inlineStr">
        <is>
          <t>AWS Budgets</t>
        </is>
      </c>
      <c r="B21" s="44" t="inlineStr">
        <is>
          <t>https://console.aws.amazon.com/billing/home#/budgets</t>
        </is>
      </c>
    </row>
    <row r="22">
      <c r="A22" s="32" t="inlineStr">
        <is>
          <t>Cost Anomaly Detection</t>
        </is>
      </c>
      <c r="B22" s="44" t="inlineStr">
        <is>
          <t>https://console.aws.amazon.com/cost-management/home#/anomaly-detection</t>
        </is>
      </c>
    </row>
    <row r="23"/>
    <row r="24"/>
    <row r="25">
      <c r="A25" s="41" t="inlineStr">
        <is>
          <t>CLI Commands</t>
        </is>
      </c>
    </row>
    <row r="26">
      <c r="A26" s="32" t="inlineStr">
        <is>
          <t>Find orphaned snapshots</t>
        </is>
      </c>
    </row>
    <row r="27">
      <c r="A27" s="32" t="inlineStr">
        <is>
          <t>List unattached volumes</t>
        </is>
      </c>
    </row>
    <row r="28">
      <c r="A28" s="32" t="inlineStr">
        <is>
          <t>Find unused Elastic IPs</t>
        </is>
      </c>
    </row>
    <row r="29">
      <c r="A29" s="43" t="inlineStr">
        <is>
          <t>aws ec2 describe-snapshots --owner-ids self --query "Snapshots[?!VolumeId]"</t>
        </is>
      </c>
    </row>
    <row r="30">
      <c r="A30" s="43" t="inlineStr">
        <is>
          <t>aws ec2 describe-volumes --filters Name=status,Values=available</t>
        </is>
      </c>
    </row>
    <row r="31">
      <c r="A31" s="43" t="inlineStr">
        <is>
          <t>aws ec2 describe-addresses --query "Addresses[?AssociationId==null]"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2026-01-22T08:35:54Z</dcterms:created>
  <dcterms:modified xmlns:dcterms="http://purl.org/dc/terms/" xmlns:xsi="http://www.w3.org/2001/XMLSchema-instance" xsi:type="dcterms:W3CDTF">2026-01-22T09:30:48Z</dcterms:modified>
  <cp:lastModifiedBy>Hoang Le</cp:lastModifiedBy>
</cp:coreProperties>
</file>