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lương 3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3" fontId="3" fillId="0" borderId="1" pivotButton="0" quotePrefix="0" xfId="0"/>
    <xf numFmtId="9" fontId="3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3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7" customWidth="1" min="4" max="4"/>
    <col width="13" customWidth="1" min="5" max="5"/>
    <col width="11" customWidth="1" min="6" max="6"/>
    <col width="6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1" customWidth="1" min="13" max="13"/>
    <col width="11" customWidth="1" min="14" max="14"/>
    <col width="11" customWidth="1" min="15" max="15"/>
    <col width="13" customWidth="1" min="16" max="16"/>
  </cols>
  <sheetData>
    <row r="1">
      <c r="A1" s="1" t="inlineStr">
        <is>
          <t>BẢNG LƯƠNG 3P - INNOMIZE (P1 với MIN/MAX theo Level)</t>
        </is>
      </c>
    </row>
    <row r="3">
      <c r="A3" s="2" t="inlineStr">
        <is>
          <t>P1 MIN/MAX theo Level (đảm bảo hierarchy):</t>
        </is>
      </c>
    </row>
    <row r="4">
      <c r="A4" s="2" t="inlineStr">
        <is>
          <t>Level</t>
        </is>
      </c>
      <c r="B4" s="2" t="inlineStr">
        <is>
          <t>P1%</t>
        </is>
      </c>
      <c r="C4" s="2" t="inlineStr">
        <is>
          <t>P1 MIN</t>
        </is>
      </c>
      <c r="D4" s="2" t="inlineStr">
        <is>
          <t>P1 MAX</t>
        </is>
      </c>
      <c r="E4" s="2" t="inlineStr">
        <is>
          <t>Quy tắc</t>
        </is>
      </c>
    </row>
    <row r="5">
      <c r="A5" t="inlineStr">
        <is>
          <t>4-5 (Director)</t>
        </is>
      </c>
      <c r="B5" t="inlineStr">
        <is>
          <t>18%</t>
        </is>
      </c>
      <c r="C5" s="3" t="n">
        <v>10000000</v>
      </c>
      <c r="D5" s="3" t="n">
        <v>15000000</v>
      </c>
      <c r="E5" t="inlineStr"/>
    </row>
    <row r="6">
      <c r="A6" t="inlineStr">
        <is>
          <t>6 (Lead)</t>
        </is>
      </c>
      <c r="B6" t="inlineStr">
        <is>
          <t>22%</t>
        </is>
      </c>
      <c r="C6" s="3" t="n">
        <v>8000000</v>
      </c>
      <c r="D6" s="3" t="n">
        <v>9900000</v>
      </c>
      <c r="E6" t="inlineStr">
        <is>
          <t>MAX &lt; Director MIN</t>
        </is>
      </c>
    </row>
    <row r="7">
      <c r="A7" t="inlineStr">
        <is>
          <t>7 (Senior)</t>
        </is>
      </c>
      <c r="B7" t="inlineStr">
        <is>
          <t>28%</t>
        </is>
      </c>
      <c r="C7" s="3" t="n">
        <v>7000000</v>
      </c>
      <c r="D7" s="3" t="n">
        <v>7900000</v>
      </c>
      <c r="E7" t="inlineStr">
        <is>
          <t>MAX &lt; Lead MIN</t>
        </is>
      </c>
    </row>
    <row r="8">
      <c r="A8" t="inlineStr">
        <is>
          <t>8 (Engineer)</t>
        </is>
      </c>
      <c r="B8" t="inlineStr">
        <is>
          <t>32%</t>
        </is>
      </c>
      <c r="C8" s="3" t="n">
        <v>5500000</v>
      </c>
      <c r="D8" s="3" t="n">
        <v>6900000</v>
      </c>
      <c r="E8" t="inlineStr">
        <is>
          <t>MAX &lt; Senior MIN</t>
        </is>
      </c>
    </row>
    <row r="9">
      <c r="A9" t="inlineStr">
        <is>
          <t>9-10 (Junior)</t>
        </is>
      </c>
      <c r="B9" t="inlineStr">
        <is>
          <t>50%</t>
        </is>
      </c>
      <c r="C9" s="3" t="n">
        <v>5000000</v>
      </c>
      <c r="D9" s="3" t="n">
        <v>5400000</v>
      </c>
      <c r="E9" t="inlineStr">
        <is>
          <t>MAX &lt; Engineer MIN</t>
        </is>
      </c>
    </row>
    <row r="10">
      <c r="A10" t="inlineStr">
        <is>
          <t>BO (Back Office)</t>
        </is>
      </c>
      <c r="B10" t="inlineStr">
        <is>
          <t>38%</t>
        </is>
      </c>
      <c r="C10" s="3" t="n">
        <v>5000000</v>
      </c>
      <c r="D10" s="3" t="n">
        <v>7000000</v>
      </c>
      <c r="E10" t="inlineStr">
        <is>
          <t>Riêng</t>
        </is>
      </c>
    </row>
    <row r="13">
      <c r="A13" s="4" t="inlineStr">
        <is>
          <t>#</t>
        </is>
      </c>
      <c r="B13" s="4" t="inlineStr">
        <is>
          <t>Họ tên</t>
        </is>
      </c>
      <c r="C13" s="4" t="inlineStr">
        <is>
          <t>Vị trí</t>
        </is>
      </c>
      <c r="D13" s="4" t="inlineStr">
        <is>
          <t>Level</t>
        </is>
      </c>
      <c r="E13" s="4" t="inlineStr">
        <is>
          <t>Gross</t>
        </is>
      </c>
      <c r="F13" s="4" t="inlineStr">
        <is>
          <t>P1 Cũ</t>
        </is>
      </c>
      <c r="G13" s="4" t="inlineStr">
        <is>
          <t>P1%</t>
        </is>
      </c>
      <c r="H13" s="4" t="inlineStr">
        <is>
          <t>P1 MIN</t>
        </is>
      </c>
      <c r="I13" s="4" t="inlineStr">
        <is>
          <t>P1 MAX</t>
        </is>
      </c>
      <c r="J13" s="4" t="inlineStr">
        <is>
          <t>P1 Tính</t>
        </is>
      </c>
      <c r="K13" s="4" t="inlineStr">
        <is>
          <t>P1 Mới (cap)</t>
        </is>
      </c>
      <c r="L13" s="4" t="inlineStr">
        <is>
          <t>Điều chỉnh</t>
        </is>
      </c>
      <c r="M13" s="4" t="inlineStr">
        <is>
          <t>P2.2</t>
        </is>
      </c>
      <c r="N13" s="4" t="inlineStr">
        <is>
          <t>P2.3</t>
        </is>
      </c>
      <c r="O13" s="4" t="inlineStr">
        <is>
          <t>P3</t>
        </is>
      </c>
      <c r="P13" s="4" t="inlineStr">
        <is>
          <t>P2.1</t>
        </is>
      </c>
    </row>
    <row r="14">
      <c r="A14" s="5" t="n">
        <v>1</v>
      </c>
      <c r="B14" s="5" t="inlineStr">
        <is>
          <t>Lê Quang Hoàng</t>
        </is>
      </c>
      <c r="C14" s="5" t="inlineStr">
        <is>
          <t>Giám đốc</t>
        </is>
      </c>
      <c r="D14" s="5" t="inlineStr">
        <is>
          <t>4-5</t>
        </is>
      </c>
      <c r="E14" s="6" t="n">
        <v>57500000</v>
      </c>
      <c r="F14" s="6" t="n">
        <v>7500000</v>
      </c>
      <c r="G14" s="7" t="n">
        <v>0.18</v>
      </c>
      <c r="H14" s="8" t="n">
        <v>10000000</v>
      </c>
      <c r="I14" s="8" t="n">
        <v>15000000</v>
      </c>
      <c r="J14" s="8">
        <f>ROUND(E14*G14,0)</f>
        <v/>
      </c>
      <c r="K14" s="9">
        <f>MIN(I14,MAX(H14,J14))</f>
        <v/>
      </c>
      <c r="L14" s="10">
        <f>K14-F14</f>
        <v/>
      </c>
      <c r="M14" s="6" t="n">
        <v>3600000</v>
      </c>
      <c r="N14" s="11" t="n">
        <v>6000000</v>
      </c>
      <c r="O14" s="6" t="n">
        <v>0</v>
      </c>
      <c r="P14" s="8">
        <f>E14-K14-M14-IF(N14="-",0,N14)-O14</f>
        <v/>
      </c>
    </row>
    <row r="15">
      <c r="A15" s="5" t="n">
        <v>2</v>
      </c>
      <c r="B15" s="5" t="inlineStr">
        <is>
          <t>Ngô Văn Hậu</t>
        </is>
      </c>
      <c r="C15" s="5" t="inlineStr">
        <is>
          <t>Trưởng phòng</t>
        </is>
      </c>
      <c r="D15" s="5" t="inlineStr">
        <is>
          <t>4-5</t>
        </is>
      </c>
      <c r="E15" s="6" t="n">
        <v>60000000</v>
      </c>
      <c r="F15" s="6" t="n">
        <v>6230000</v>
      </c>
      <c r="G15" s="7" t="n">
        <v>0.18</v>
      </c>
      <c r="H15" s="8" t="n">
        <v>10000000</v>
      </c>
      <c r="I15" s="8" t="n">
        <v>15000000</v>
      </c>
      <c r="J15" s="8">
        <f>ROUND(E15*G15,0)</f>
        <v/>
      </c>
      <c r="K15" s="9">
        <f>MIN(I15,MAX(H15,J15))</f>
        <v/>
      </c>
      <c r="L15" s="10">
        <f>K15-F15</f>
        <v/>
      </c>
      <c r="M15" s="6" t="n">
        <v>3140000</v>
      </c>
      <c r="N15" s="11" t="n">
        <v>6000000</v>
      </c>
      <c r="O15" s="6" t="n">
        <v>0</v>
      </c>
      <c r="P15" s="8">
        <f>E15-K15-M15-IF(N15="-",0,N15)-O15</f>
        <v/>
      </c>
    </row>
    <row r="16">
      <c r="A16" s="5" t="n">
        <v>3</v>
      </c>
      <c r="B16" s="5" t="inlineStr">
        <is>
          <t>Nguyễn Thị Hường</t>
        </is>
      </c>
      <c r="C16" s="5" t="inlineStr">
        <is>
          <t>Senior PM</t>
        </is>
      </c>
      <c r="D16" s="5" t="inlineStr">
        <is>
          <t>4-5</t>
        </is>
      </c>
      <c r="E16" s="6" t="n">
        <v>65000000</v>
      </c>
      <c r="F16" s="6" t="n">
        <v>5650000</v>
      </c>
      <c r="G16" s="7" t="n">
        <v>0.18</v>
      </c>
      <c r="H16" s="8" t="n">
        <v>10000000</v>
      </c>
      <c r="I16" s="8" t="n">
        <v>15000000</v>
      </c>
      <c r="J16" s="8">
        <f>ROUND(E16*G16,0)</f>
        <v/>
      </c>
      <c r="K16" s="9">
        <f>MIN(I16,MAX(H16,J16))</f>
        <v/>
      </c>
      <c r="L16" s="10">
        <f>K16-F16</f>
        <v/>
      </c>
      <c r="M16" s="6" t="n">
        <v>3140000</v>
      </c>
      <c r="N16" s="11" t="n">
        <v>5000000</v>
      </c>
      <c r="O16" s="6" t="n">
        <v>4000000</v>
      </c>
      <c r="P16" s="8">
        <f>E16-K16-M16-IF(N16="-",0,N16)-O16</f>
        <v/>
      </c>
    </row>
    <row r="17">
      <c r="A17" s="5" t="n">
        <v>4</v>
      </c>
      <c r="B17" s="5" t="inlineStr">
        <is>
          <t>Trần Thanh Sang</t>
        </is>
      </c>
      <c r="C17" s="5" t="inlineStr">
        <is>
          <t>Tech Lead 1</t>
        </is>
      </c>
      <c r="D17" s="5" t="inlineStr">
        <is>
          <t>6</t>
        </is>
      </c>
      <c r="E17" s="6" t="n">
        <v>40100000</v>
      </c>
      <c r="F17" s="6" t="n">
        <v>5720000</v>
      </c>
      <c r="G17" s="7" t="n">
        <v>0.22</v>
      </c>
      <c r="H17" s="8" t="n">
        <v>8000000</v>
      </c>
      <c r="I17" s="8" t="n">
        <v>9900000</v>
      </c>
      <c r="J17" s="8">
        <f>ROUND(E17*G17,0)</f>
        <v/>
      </c>
      <c r="K17" s="9">
        <f>MIN(I17,MAX(H17,J17))</f>
        <v/>
      </c>
      <c r="L17" s="10">
        <f>K17-F17</f>
        <v/>
      </c>
      <c r="M17" s="6" t="n">
        <v>2910000</v>
      </c>
      <c r="N17" s="11" t="n">
        <v>4000000</v>
      </c>
      <c r="O17" s="6" t="n">
        <v>4000000</v>
      </c>
      <c r="P17" s="8">
        <f>E17-K17-M17-IF(N17="-",0,N17)-O17</f>
        <v/>
      </c>
    </row>
    <row r="18">
      <c r="A18" s="5" t="n">
        <v>5</v>
      </c>
      <c r="B18" s="5" t="inlineStr">
        <is>
          <t>Đinh Phước Hiệp</t>
        </is>
      </c>
      <c r="C18" s="5" t="inlineStr">
        <is>
          <t>Tech Lead 1</t>
        </is>
      </c>
      <c r="D18" s="5" t="inlineStr">
        <is>
          <t>6</t>
        </is>
      </c>
      <c r="E18" s="6" t="n">
        <v>53300000</v>
      </c>
      <c r="F18" s="6" t="n">
        <v>6010000</v>
      </c>
      <c r="G18" s="7" t="n">
        <v>0.22</v>
      </c>
      <c r="H18" s="8" t="n">
        <v>8000000</v>
      </c>
      <c r="I18" s="8" t="n">
        <v>9900000</v>
      </c>
      <c r="J18" s="8">
        <f>ROUND(E18*G18,0)</f>
        <v/>
      </c>
      <c r="K18" s="9">
        <f>MIN(I18,MAX(H18,J18))</f>
        <v/>
      </c>
      <c r="L18" s="10">
        <f>K18-F18</f>
        <v/>
      </c>
      <c r="M18" s="6" t="n">
        <v>2910000</v>
      </c>
      <c r="N18" s="11" t="n">
        <v>4000000</v>
      </c>
      <c r="O18" s="6" t="n">
        <v>4000000</v>
      </c>
      <c r="P18" s="8">
        <f>E18-K18-M18-IF(N18="-",0,N18)-O18</f>
        <v/>
      </c>
    </row>
    <row r="19">
      <c r="A19" s="5" t="n">
        <v>6</v>
      </c>
      <c r="B19" s="5" t="inlineStr">
        <is>
          <t>Hoàng Ngọc Tuấn Anh</t>
        </is>
      </c>
      <c r="C19" s="5" t="inlineStr">
        <is>
          <t>Test Lead 1</t>
        </is>
      </c>
      <c r="D19" s="5" t="inlineStr">
        <is>
          <t>6</t>
        </is>
      </c>
      <c r="E19" s="6" t="n">
        <v>46800000</v>
      </c>
      <c r="F19" s="6" t="n">
        <v>5860000</v>
      </c>
      <c r="G19" s="7" t="n">
        <v>0.22</v>
      </c>
      <c r="H19" s="8" t="n">
        <v>8000000</v>
      </c>
      <c r="I19" s="8" t="n">
        <v>9900000</v>
      </c>
      <c r="J19" s="8">
        <f>ROUND(E19*G19,0)</f>
        <v/>
      </c>
      <c r="K19" s="9">
        <f>MIN(I19,MAX(H19,J19))</f>
        <v/>
      </c>
      <c r="L19" s="10">
        <f>K19-F19</f>
        <v/>
      </c>
      <c r="M19" s="6" t="n">
        <v>2910000</v>
      </c>
      <c r="N19" s="11" t="n">
        <v>3000000</v>
      </c>
      <c r="O19" s="6" t="n">
        <v>3000000</v>
      </c>
      <c r="P19" s="8">
        <f>E19-K19-M19-IF(N19="-",0,N19)-O19</f>
        <v/>
      </c>
    </row>
    <row r="20">
      <c r="A20" s="5" t="n">
        <v>7</v>
      </c>
      <c r="B20" s="5" t="inlineStr">
        <is>
          <t>Nguyễn Văn Dô</t>
        </is>
      </c>
      <c r="C20" s="5" t="inlineStr">
        <is>
          <t>Sr. SE 1</t>
        </is>
      </c>
      <c r="D20" s="5" t="inlineStr">
        <is>
          <t>7</t>
        </is>
      </c>
      <c r="E20" s="6" t="n">
        <v>35500000</v>
      </c>
      <c r="F20" s="6" t="n">
        <v>5860000</v>
      </c>
      <c r="G20" s="7" t="n">
        <v>0.28</v>
      </c>
      <c r="H20" s="8" t="n">
        <v>7000000</v>
      </c>
      <c r="I20" s="8" t="n">
        <v>7900000</v>
      </c>
      <c r="J20" s="8">
        <f>ROUND(E20*G20,0)</f>
        <v/>
      </c>
      <c r="K20" s="9">
        <f>MIN(I20,MAX(H20,J20))</f>
        <v/>
      </c>
      <c r="L20" s="10">
        <f>K20-F20</f>
        <v/>
      </c>
      <c r="M20" s="6" t="n">
        <v>2680000</v>
      </c>
      <c r="N20" s="11" t="inlineStr">
        <is>
          <t>-</t>
        </is>
      </c>
      <c r="O20" s="6" t="n">
        <v>4500000</v>
      </c>
      <c r="P20" s="8">
        <f>E20-K20-M20-IF(N20="-",0,N20)-O20</f>
        <v/>
      </c>
    </row>
    <row r="21">
      <c r="A21" s="5" t="n">
        <v>8</v>
      </c>
      <c r="B21" s="5" t="inlineStr">
        <is>
          <t>Phạm Hùng</t>
        </is>
      </c>
      <c r="C21" s="5" t="inlineStr">
        <is>
          <t>Sr. SE 1</t>
        </is>
      </c>
      <c r="D21" s="5" t="inlineStr">
        <is>
          <t>7</t>
        </is>
      </c>
      <c r="E21" s="6" t="n">
        <v>44000000</v>
      </c>
      <c r="F21" s="6" t="n">
        <v>5860000</v>
      </c>
      <c r="G21" s="7" t="n">
        <v>0.28</v>
      </c>
      <c r="H21" s="8" t="n">
        <v>7000000</v>
      </c>
      <c r="I21" s="8" t="n">
        <v>7900000</v>
      </c>
      <c r="J21" s="8">
        <f>ROUND(E21*G21,0)</f>
        <v/>
      </c>
      <c r="K21" s="9">
        <f>MIN(I21,MAX(H21,J21))</f>
        <v/>
      </c>
      <c r="L21" s="10">
        <f>K21-F21</f>
        <v/>
      </c>
      <c r="M21" s="6" t="n">
        <v>2680000</v>
      </c>
      <c r="N21" s="11" t="inlineStr">
        <is>
          <t>-</t>
        </is>
      </c>
      <c r="O21" s="6" t="n">
        <v>1000000</v>
      </c>
      <c r="P21" s="8">
        <f>E21-K21-M21-IF(N21="-",0,N21)-O21</f>
        <v/>
      </c>
    </row>
    <row r="22">
      <c r="A22" s="5" t="n">
        <v>9</v>
      </c>
      <c r="B22" s="5" t="inlineStr">
        <is>
          <t>Nguyễn Thanh Tố</t>
        </is>
      </c>
      <c r="C22" s="5" t="inlineStr">
        <is>
          <t>SE 3</t>
        </is>
      </c>
      <c r="D22" s="5" t="inlineStr">
        <is>
          <t>8</t>
        </is>
      </c>
      <c r="E22" s="6" t="n">
        <v>25000000</v>
      </c>
      <c r="F22" s="6" t="n">
        <v>5860000</v>
      </c>
      <c r="G22" s="7" t="n">
        <v>0.32</v>
      </c>
      <c r="H22" s="8" t="n">
        <v>5500000</v>
      </c>
      <c r="I22" s="8" t="n">
        <v>6900000</v>
      </c>
      <c r="J22" s="8">
        <f>ROUND(E22*G22,0)</f>
        <v/>
      </c>
      <c r="K22" s="9">
        <f>MIN(I22,MAX(H22,J22))</f>
        <v/>
      </c>
      <c r="L22" s="10">
        <f>K22-F22</f>
        <v/>
      </c>
      <c r="M22" s="6" t="n">
        <v>2680000</v>
      </c>
      <c r="N22" s="11" t="inlineStr">
        <is>
          <t>-</t>
        </is>
      </c>
      <c r="O22" s="6" t="n">
        <v>5500000</v>
      </c>
      <c r="P22" s="8">
        <f>E22-K22-M22-IF(N22="-",0,N22)-O22</f>
        <v/>
      </c>
    </row>
    <row r="23">
      <c r="A23" s="5" t="n">
        <v>10</v>
      </c>
      <c r="B23" s="5" t="inlineStr">
        <is>
          <t>Đoàn Tiến Phát</t>
        </is>
      </c>
      <c r="C23" s="5" t="inlineStr">
        <is>
          <t>SE 3</t>
        </is>
      </c>
      <c r="D23" s="5" t="inlineStr">
        <is>
          <t>8</t>
        </is>
      </c>
      <c r="E23" s="6" t="n">
        <v>28000000</v>
      </c>
      <c r="F23" s="6" t="n">
        <v>5860000</v>
      </c>
      <c r="G23" s="7" t="n">
        <v>0.32</v>
      </c>
      <c r="H23" s="8" t="n">
        <v>5500000</v>
      </c>
      <c r="I23" s="8" t="n">
        <v>6900000</v>
      </c>
      <c r="J23" s="8">
        <f>ROUND(E23*G23,0)</f>
        <v/>
      </c>
      <c r="K23" s="9">
        <f>MIN(I23,MAX(H23,J23))</f>
        <v/>
      </c>
      <c r="L23" s="10">
        <f>K23-F23</f>
        <v/>
      </c>
      <c r="M23" s="6" t="n">
        <v>2680000</v>
      </c>
      <c r="N23" s="11" t="inlineStr">
        <is>
          <t>-</t>
        </is>
      </c>
      <c r="O23" s="6" t="n">
        <v>5500000</v>
      </c>
      <c r="P23" s="8">
        <f>E23-K23-M23-IF(N23="-",0,N23)-O23</f>
        <v/>
      </c>
    </row>
    <row r="24">
      <c r="A24" s="5" t="n">
        <v>11</v>
      </c>
      <c r="B24" s="5" t="inlineStr">
        <is>
          <t>Trần Vũ Ngọc Hoàng</t>
        </is>
      </c>
      <c r="C24" s="5" t="inlineStr">
        <is>
          <t>SE 3</t>
        </is>
      </c>
      <c r="D24" s="5" t="inlineStr">
        <is>
          <t>8</t>
        </is>
      </c>
      <c r="E24" s="6" t="n">
        <v>32500000</v>
      </c>
      <c r="F24" s="6" t="n">
        <v>5580000</v>
      </c>
      <c r="G24" s="7" t="n">
        <v>0.32</v>
      </c>
      <c r="H24" s="8" t="n">
        <v>5500000</v>
      </c>
      <c r="I24" s="8" t="n">
        <v>6900000</v>
      </c>
      <c r="J24" s="8">
        <f>ROUND(E24*G24,0)</f>
        <v/>
      </c>
      <c r="K24" s="9">
        <f>MIN(I24,MAX(H24,J24))</f>
        <v/>
      </c>
      <c r="L24" s="10">
        <f>K24-F24</f>
        <v/>
      </c>
      <c r="M24" s="6" t="n">
        <v>2680000</v>
      </c>
      <c r="N24" s="11" t="inlineStr">
        <is>
          <t>-</t>
        </is>
      </c>
      <c r="O24" s="6" t="n">
        <v>1000000</v>
      </c>
      <c r="P24" s="8">
        <f>E24-K24-M24-IF(N24="-",0,N24)-O24</f>
        <v/>
      </c>
    </row>
    <row r="25">
      <c r="A25" s="5" t="n">
        <v>12</v>
      </c>
      <c r="B25" s="5" t="inlineStr">
        <is>
          <t>Nguyễn Văn Việt</t>
        </is>
      </c>
      <c r="C25" s="5" t="inlineStr">
        <is>
          <t>SE 3</t>
        </is>
      </c>
      <c r="D25" s="5" t="inlineStr">
        <is>
          <t>8</t>
        </is>
      </c>
      <c r="E25" s="6" t="n">
        <v>33000000</v>
      </c>
      <c r="F25" s="6" t="n">
        <v>5580000</v>
      </c>
      <c r="G25" s="7" t="n">
        <v>0.32</v>
      </c>
      <c r="H25" s="8" t="n">
        <v>5500000</v>
      </c>
      <c r="I25" s="8" t="n">
        <v>6900000</v>
      </c>
      <c r="J25" s="8">
        <f>ROUND(E25*G25,0)</f>
        <v/>
      </c>
      <c r="K25" s="9">
        <f>MIN(I25,MAX(H25,J25))</f>
        <v/>
      </c>
      <c r="L25" s="10">
        <f>K25-F25</f>
        <v/>
      </c>
      <c r="M25" s="6" t="n">
        <v>2680000</v>
      </c>
      <c r="N25" s="11" t="inlineStr">
        <is>
          <t>-</t>
        </is>
      </c>
      <c r="O25" s="6" t="n">
        <v>2500000</v>
      </c>
      <c r="P25" s="8">
        <f>E25-K25-M25-IF(N25="-",0,N25)-O25</f>
        <v/>
      </c>
    </row>
    <row r="26">
      <c r="A26" s="5" t="n">
        <v>13</v>
      </c>
      <c r="B26" s="5" t="inlineStr">
        <is>
          <t>Hồ Minh Tuấn</t>
        </is>
      </c>
      <c r="C26" s="5" t="inlineStr">
        <is>
          <t>SE 2</t>
        </is>
      </c>
      <c r="D26" s="5" t="inlineStr">
        <is>
          <t>8</t>
        </is>
      </c>
      <c r="E26" s="6" t="n">
        <v>26000000</v>
      </c>
      <c r="F26" s="6" t="n">
        <v>5310000</v>
      </c>
      <c r="G26" s="7" t="n">
        <v>0.32</v>
      </c>
      <c r="H26" s="8" t="n">
        <v>5500000</v>
      </c>
      <c r="I26" s="8" t="n">
        <v>6900000</v>
      </c>
      <c r="J26" s="8">
        <f>ROUND(E26*G26,0)</f>
        <v/>
      </c>
      <c r="K26" s="9">
        <f>MIN(I26,MAX(H26,J26))</f>
        <v/>
      </c>
      <c r="L26" s="10">
        <f>K26-F26</f>
        <v/>
      </c>
      <c r="M26" s="6" t="n">
        <v>2680000</v>
      </c>
      <c r="N26" s="11" t="inlineStr">
        <is>
          <t>-</t>
        </is>
      </c>
      <c r="O26" s="6" t="n">
        <v>0</v>
      </c>
      <c r="P26" s="8">
        <f>E26-K26-M26-IF(N26="-",0,N26)-O26</f>
        <v/>
      </c>
    </row>
    <row r="27">
      <c r="A27" s="5" t="n">
        <v>14</v>
      </c>
      <c r="B27" s="5" t="inlineStr">
        <is>
          <t>Trần Ngọc Sinh</t>
        </is>
      </c>
      <c r="C27" s="5" t="inlineStr">
        <is>
          <t>SE 2</t>
        </is>
      </c>
      <c r="D27" s="5" t="inlineStr">
        <is>
          <t>8</t>
        </is>
      </c>
      <c r="E27" s="6" t="n">
        <v>13000000</v>
      </c>
      <c r="F27" s="6" t="n">
        <v>5580000</v>
      </c>
      <c r="G27" s="7" t="n">
        <v>0.32</v>
      </c>
      <c r="H27" s="8" t="n">
        <v>5500000</v>
      </c>
      <c r="I27" s="8" t="n">
        <v>6900000</v>
      </c>
      <c r="J27" s="8">
        <f>ROUND(E27*G27,0)</f>
        <v/>
      </c>
      <c r="K27" s="9">
        <f>MIN(I27,MAX(H27,J27))</f>
        <v/>
      </c>
      <c r="L27" s="10">
        <f>K27-F27</f>
        <v/>
      </c>
      <c r="M27" s="6" t="n">
        <v>2680000</v>
      </c>
      <c r="N27" s="11" t="inlineStr">
        <is>
          <t>-</t>
        </is>
      </c>
      <c r="O27" s="6" t="n">
        <v>3000000</v>
      </c>
      <c r="P27" s="8">
        <f>E27-K27-M27-IF(N27="-",0,N27)-O27</f>
        <v/>
      </c>
    </row>
    <row r="28">
      <c r="A28" s="5" t="n">
        <v>15</v>
      </c>
      <c r="B28" s="5" t="inlineStr">
        <is>
          <t>Vũ Bá Hưng</t>
        </is>
      </c>
      <c r="C28" s="5" t="inlineStr">
        <is>
          <t>SE 1</t>
        </is>
      </c>
      <c r="D28" s="5" t="inlineStr">
        <is>
          <t>9-10</t>
        </is>
      </c>
      <c r="E28" s="6" t="n">
        <v>11000000</v>
      </c>
      <c r="F28" s="6" t="n">
        <v>5310000</v>
      </c>
      <c r="G28" s="7" t="n">
        <v>0.5</v>
      </c>
      <c r="H28" s="8" t="n">
        <v>5000000</v>
      </c>
      <c r="I28" s="8" t="n">
        <v>5400000</v>
      </c>
      <c r="J28" s="8">
        <f>ROUND(E28*G28,0)</f>
        <v/>
      </c>
      <c r="K28" s="9">
        <f>MIN(I28,MAX(H28,J28))</f>
        <v/>
      </c>
      <c r="L28" s="10">
        <f>K28-F28</f>
        <v/>
      </c>
      <c r="M28" s="6" t="n">
        <v>2680000</v>
      </c>
      <c r="N28" s="11" t="inlineStr">
        <is>
          <t>-</t>
        </is>
      </c>
      <c r="O28" s="6" t="n">
        <v>2000000</v>
      </c>
      <c r="P28" s="8">
        <f>E28-K28-M28-IF(N28="-",0,N28)-O28</f>
        <v/>
      </c>
    </row>
    <row r="29">
      <c r="A29" s="5" t="n">
        <v>16</v>
      </c>
      <c r="B29" s="5" t="inlineStr">
        <is>
          <t>Nguyễn Thanh Tân</t>
        </is>
      </c>
      <c r="C29" s="5" t="inlineStr">
        <is>
          <t>SE 1</t>
        </is>
      </c>
      <c r="D29" s="5" t="inlineStr">
        <is>
          <t>9-10</t>
        </is>
      </c>
      <c r="E29" s="6" t="n">
        <v>11000000</v>
      </c>
      <c r="F29" s="6" t="n">
        <v>5310000</v>
      </c>
      <c r="G29" s="7" t="n">
        <v>0.5</v>
      </c>
      <c r="H29" s="8" t="n">
        <v>5000000</v>
      </c>
      <c r="I29" s="8" t="n">
        <v>5400000</v>
      </c>
      <c r="J29" s="8">
        <f>ROUND(E29*G29,0)</f>
        <v/>
      </c>
      <c r="K29" s="9">
        <f>MIN(I29,MAX(H29,J29))</f>
        <v/>
      </c>
      <c r="L29" s="10">
        <f>K29-F29</f>
        <v/>
      </c>
      <c r="M29" s="6" t="n">
        <v>2680000</v>
      </c>
      <c r="N29" s="11" t="inlineStr">
        <is>
          <t>-</t>
        </is>
      </c>
      <c r="O29" s="6" t="n">
        <v>0</v>
      </c>
      <c r="P29" s="8">
        <f>E29-K29-M29-IF(N29="-",0,N29)-O29</f>
        <v/>
      </c>
    </row>
    <row r="30">
      <c r="A30" s="5" t="n">
        <v>17</v>
      </c>
      <c r="B30" s="5" t="inlineStr">
        <is>
          <t>Nguyễn Anh Đức</t>
        </is>
      </c>
      <c r="C30" s="5" t="inlineStr">
        <is>
          <t>SE 1</t>
        </is>
      </c>
      <c r="D30" s="5" t="inlineStr">
        <is>
          <t>9-10</t>
        </is>
      </c>
      <c r="E30" s="6" t="n">
        <v>11000000</v>
      </c>
      <c r="F30" s="6" t="n">
        <v>5310000</v>
      </c>
      <c r="G30" s="7" t="n">
        <v>0.5</v>
      </c>
      <c r="H30" s="8" t="n">
        <v>5000000</v>
      </c>
      <c r="I30" s="8" t="n">
        <v>5400000</v>
      </c>
      <c r="J30" s="8">
        <f>ROUND(E30*G30,0)</f>
        <v/>
      </c>
      <c r="K30" s="9">
        <f>MIN(I30,MAX(H30,J30))</f>
        <v/>
      </c>
      <c r="L30" s="10">
        <f>K30-F30</f>
        <v/>
      </c>
      <c r="M30" s="6" t="n">
        <v>2680000</v>
      </c>
      <c r="N30" s="11" t="inlineStr">
        <is>
          <t>-</t>
        </is>
      </c>
      <c r="O30" s="6" t="n">
        <v>0</v>
      </c>
      <c r="P30" s="8">
        <f>E30-K30-M30-IF(N30="-",0,N30)-O30</f>
        <v/>
      </c>
    </row>
    <row r="31">
      <c r="A31" s="5" t="n">
        <v>18</v>
      </c>
      <c r="B31" s="5" t="inlineStr">
        <is>
          <t>Đoàn Ngọc Yến Vy</t>
        </is>
      </c>
      <c r="C31" s="5" t="inlineStr">
        <is>
          <t>TE 1</t>
        </is>
      </c>
      <c r="D31" s="5" t="inlineStr">
        <is>
          <t>9-10</t>
        </is>
      </c>
      <c r="E31" s="6" t="n">
        <v>10000000</v>
      </c>
      <c r="F31" s="6" t="n">
        <v>5310000</v>
      </c>
      <c r="G31" s="7" t="n">
        <v>0.5</v>
      </c>
      <c r="H31" s="8" t="n">
        <v>5000000</v>
      </c>
      <c r="I31" s="8" t="n">
        <v>5400000</v>
      </c>
      <c r="J31" s="8">
        <f>ROUND(E31*G31,0)</f>
        <v/>
      </c>
      <c r="K31" s="9">
        <f>MIN(I31,MAX(H31,J31))</f>
        <v/>
      </c>
      <c r="L31" s="10">
        <f>K31-F31</f>
        <v/>
      </c>
      <c r="M31" s="6" t="n">
        <v>2680000</v>
      </c>
      <c r="N31" s="11" t="inlineStr">
        <is>
          <t>-</t>
        </is>
      </c>
      <c r="O31" s="6" t="n">
        <v>0</v>
      </c>
      <c r="P31" s="8">
        <f>E31-K31-M31-IF(N31="-",0,N31)-O31</f>
        <v/>
      </c>
    </row>
    <row r="32">
      <c r="A32" s="5" t="n">
        <v>19</v>
      </c>
      <c r="B32" s="5" t="inlineStr">
        <is>
          <t>Nguyễn Thu Trang</t>
        </is>
      </c>
      <c r="C32" s="5" t="inlineStr">
        <is>
          <t>HR Lead</t>
        </is>
      </c>
      <c r="D32" s="5" t="inlineStr">
        <is>
          <t>BO</t>
        </is>
      </c>
      <c r="E32" s="6" t="n">
        <v>27150000</v>
      </c>
      <c r="F32" s="6" t="n">
        <v>5450000</v>
      </c>
      <c r="G32" s="7" t="n">
        <v>0.38</v>
      </c>
      <c r="H32" s="8" t="n">
        <v>5000000</v>
      </c>
      <c r="I32" s="8" t="n">
        <v>7000000</v>
      </c>
      <c r="J32" s="8">
        <f>ROUND(E32*G32,0)</f>
        <v/>
      </c>
      <c r="K32" s="9">
        <f>MIN(I32,MAX(H32,J32))</f>
        <v/>
      </c>
      <c r="L32" s="10">
        <f>K32-F32</f>
        <v/>
      </c>
      <c r="M32" s="6" t="n">
        <v>2910000</v>
      </c>
      <c r="N32" s="11" t="n">
        <v>2000000</v>
      </c>
      <c r="O32" s="6" t="n">
        <v>1000000</v>
      </c>
      <c r="P32" s="8">
        <f>E32-K32-M32-IF(N32="-",0,N32)-O32</f>
        <v/>
      </c>
    </row>
    <row r="33">
      <c r="A33" s="5" t="n">
        <v>20</v>
      </c>
      <c r="B33" s="5" t="inlineStr">
        <is>
          <t>Lê Quyền Trân</t>
        </is>
      </c>
      <c r="C33" s="5" t="inlineStr">
        <is>
          <t>HR Officer</t>
        </is>
      </c>
      <c r="D33" s="5" t="inlineStr">
        <is>
          <t>BO</t>
        </is>
      </c>
      <c r="E33" s="6" t="n">
        <v>13790000</v>
      </c>
      <c r="F33" s="6" t="n">
        <v>5860000</v>
      </c>
      <c r="G33" s="7" t="n">
        <v>0.38</v>
      </c>
      <c r="H33" s="8" t="n">
        <v>5000000</v>
      </c>
      <c r="I33" s="8" t="n">
        <v>7000000</v>
      </c>
      <c r="J33" s="8">
        <f>ROUND(E33*G33,0)</f>
        <v/>
      </c>
      <c r="K33" s="9">
        <f>MIN(I33,MAX(H33,J33))</f>
        <v/>
      </c>
      <c r="L33" s="10">
        <f>K33-F33</f>
        <v/>
      </c>
      <c r="M33" s="6" t="n">
        <v>2680000</v>
      </c>
      <c r="N33" s="11" t="inlineStr">
        <is>
          <t>-</t>
        </is>
      </c>
      <c r="O33" s="6" t="n">
        <v>2000000</v>
      </c>
      <c r="P33" s="8">
        <f>E33-K33-M33-IF(N33="-",0,N33)-O33</f>
        <v/>
      </c>
    </row>
    <row r="34">
      <c r="A34" s="5" t="n">
        <v>21</v>
      </c>
      <c r="B34" s="5" t="inlineStr">
        <is>
          <t>Dương Thành Vinh</t>
        </is>
      </c>
      <c r="C34" s="5" t="inlineStr">
        <is>
          <t>Sales/SDR</t>
        </is>
      </c>
      <c r="D34" s="5" t="inlineStr">
        <is>
          <t>BO</t>
        </is>
      </c>
      <c r="E34" s="6" t="n">
        <v>11000000</v>
      </c>
      <c r="F34" s="6" t="n">
        <v>5310000</v>
      </c>
      <c r="G34" s="7" t="n">
        <v>0.38</v>
      </c>
      <c r="H34" s="8" t="n">
        <v>5000000</v>
      </c>
      <c r="I34" s="8" t="n">
        <v>7000000</v>
      </c>
      <c r="J34" s="8">
        <f>ROUND(E34*G34,0)</f>
        <v/>
      </c>
      <c r="K34" s="9">
        <f>MIN(I34,MAX(H34,J34))</f>
        <v/>
      </c>
      <c r="L34" s="10">
        <f>K34-F34</f>
        <v/>
      </c>
      <c r="M34" s="6" t="n">
        <v>2680000</v>
      </c>
      <c r="N34" s="11" t="inlineStr">
        <is>
          <t>-</t>
        </is>
      </c>
      <c r="O34" s="6" t="n">
        <v>0</v>
      </c>
      <c r="P34" s="8">
        <f>E34-K34-M34-IF(N34="-",0,N34)-O34</f>
        <v/>
      </c>
    </row>
    <row r="35">
      <c r="B35" s="2" t="inlineStr">
        <is>
          <t>TỔNG</t>
        </is>
      </c>
      <c r="E35" s="12">
        <f>SUM(E14:E34)</f>
        <v/>
      </c>
      <c r="F35" s="12">
        <f>SUM(F14:F34)</f>
        <v/>
      </c>
      <c r="J35" s="12">
        <f>SUM(J14:J34)</f>
        <v/>
      </c>
      <c r="K35" s="12">
        <f>SUM(K14:K34)</f>
        <v/>
      </c>
      <c r="L35" s="12">
        <f>SUM(L14:L34)</f>
        <v/>
      </c>
      <c r="M35" s="12">
        <f>SUM(M14:M34)</f>
        <v/>
      </c>
      <c r="N35" s="12">
        <f>SUMIF(N14:N34,"&lt;&gt;-")</f>
        <v/>
      </c>
      <c r="O35" s="12">
        <f>SUM(O14:O34)</f>
        <v/>
      </c>
      <c r="P35" s="12">
        <f>SUM(P14:P34)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2026-02-04T10:33:57Z</dcterms:created>
  <dcterms:modified xmlns:dcterms="http://purl.org/dc/terms/" xmlns:xsi="http://www.w3.org/2001/XMLSchema-instance" xsi:type="dcterms:W3CDTF">2026-02-04T10:33:57Z</dcterms:modified>
</cp:coreProperties>
</file>